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ba865b1505c0b/Desktop/Linville Partners/"/>
    </mc:Choice>
  </mc:AlternateContent>
  <xr:revisionPtr revIDLastSave="17" documentId="8_{4B2848FF-39F7-4212-A48F-F15A8232A739}" xr6:coauthVersionLast="47" xr6:coauthVersionMax="47" xr10:uidLastSave="{16C102BF-5D5E-431F-8AC4-4BF93E847AE2}"/>
  <bookViews>
    <workbookView xWindow="-37410" yWindow="780" windowWidth="29010" windowHeight="15450" xr2:uid="{00000000-000D-0000-FFFF-FFFF00000000}"/>
  </bookViews>
  <sheets>
    <sheet name="Pro Forma_BLANK" sheetId="1" r:id="rId1"/>
    <sheet name="Loan Amortization_BLANK" sheetId="3" r:id="rId2"/>
  </sheets>
  <definedNames>
    <definedName name="_xlnm.Print_Area" localSheetId="0">'Pro Forma_BLANK'!$B$2:$S$86</definedName>
    <definedName name="_xlnm.Print_Titles" localSheetId="0">'Pro Forma_BLANK'!$2:$4</definedName>
  </definedNames>
  <calcPr calcId="191029" calcMode="autoNoTable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76" i="1" l="1"/>
  <c r="K83" i="1"/>
  <c r="L83" i="1"/>
  <c r="M83" i="1"/>
  <c r="N83" i="1"/>
  <c r="O83" i="1"/>
  <c r="P83" i="1"/>
  <c r="Q83" i="1"/>
  <c r="R83" i="1"/>
  <c r="J83" i="1"/>
  <c r="C21" i="1"/>
  <c r="C22" i="1"/>
  <c r="C23" i="1"/>
  <c r="R40" i="1"/>
  <c r="C30" i="1"/>
  <c r="D7" i="3"/>
  <c r="E15" i="3"/>
  <c r="H14" i="3"/>
  <c r="D15" i="3"/>
  <c r="F15" i="3"/>
  <c r="G15" i="3"/>
  <c r="H15" i="3"/>
  <c r="D16" i="3"/>
  <c r="E16" i="3"/>
  <c r="F16" i="3"/>
  <c r="G16" i="3"/>
  <c r="H16" i="3"/>
  <c r="D17" i="3"/>
  <c r="E17" i="3"/>
  <c r="F17" i="3"/>
  <c r="G17" i="3"/>
  <c r="H17" i="3"/>
  <c r="D18" i="3"/>
  <c r="E18" i="3"/>
  <c r="F18" i="3"/>
  <c r="G18" i="3"/>
  <c r="H18" i="3"/>
  <c r="D19" i="3"/>
  <c r="E19" i="3"/>
  <c r="F19" i="3"/>
  <c r="G19" i="3"/>
  <c r="H19" i="3"/>
  <c r="D20" i="3"/>
  <c r="E20" i="3"/>
  <c r="F20" i="3"/>
  <c r="G20" i="3"/>
  <c r="H20" i="3"/>
  <c r="D21" i="3"/>
  <c r="E21" i="3"/>
  <c r="F21" i="3"/>
  <c r="G21" i="3"/>
  <c r="H21" i="3"/>
  <c r="D22" i="3"/>
  <c r="E22" i="3"/>
  <c r="F22" i="3"/>
  <c r="G22" i="3"/>
  <c r="H22" i="3"/>
  <c r="D23" i="3"/>
  <c r="E23" i="3"/>
  <c r="F23" i="3"/>
  <c r="G23" i="3"/>
  <c r="H23" i="3"/>
  <c r="D24" i="3"/>
  <c r="E24" i="3"/>
  <c r="F24" i="3"/>
  <c r="G24" i="3"/>
  <c r="H24" i="3"/>
  <c r="D25" i="3"/>
  <c r="E25" i="3"/>
  <c r="F25" i="3"/>
  <c r="G25" i="3"/>
  <c r="H25" i="3"/>
  <c r="D26" i="3"/>
  <c r="E26" i="3"/>
  <c r="F26" i="3"/>
  <c r="G26" i="3"/>
  <c r="H26" i="3"/>
  <c r="D27" i="3"/>
  <c r="E27" i="3"/>
  <c r="F27" i="3"/>
  <c r="G27" i="3"/>
  <c r="H27" i="3"/>
  <c r="D28" i="3"/>
  <c r="E28" i="3"/>
  <c r="F28" i="3"/>
  <c r="G28" i="3"/>
  <c r="H28" i="3"/>
  <c r="D29" i="3"/>
  <c r="E29" i="3"/>
  <c r="F29" i="3"/>
  <c r="G29" i="3"/>
  <c r="H29" i="3"/>
  <c r="D30" i="3"/>
  <c r="E30" i="3"/>
  <c r="F30" i="3"/>
  <c r="G30" i="3"/>
  <c r="H30" i="3"/>
  <c r="D31" i="3"/>
  <c r="E31" i="3"/>
  <c r="F31" i="3"/>
  <c r="G31" i="3"/>
  <c r="H31" i="3"/>
  <c r="D32" i="3"/>
  <c r="E32" i="3"/>
  <c r="F32" i="3"/>
  <c r="G32" i="3"/>
  <c r="H32" i="3"/>
  <c r="D33" i="3"/>
  <c r="E33" i="3"/>
  <c r="F33" i="3"/>
  <c r="G33" i="3"/>
  <c r="H33" i="3"/>
  <c r="D34" i="3"/>
  <c r="E34" i="3"/>
  <c r="F34" i="3"/>
  <c r="G34" i="3"/>
  <c r="H34" i="3"/>
  <c r="D35" i="3"/>
  <c r="E35" i="3"/>
  <c r="F35" i="3"/>
  <c r="G35" i="3"/>
  <c r="H35" i="3"/>
  <c r="D36" i="3"/>
  <c r="E36" i="3"/>
  <c r="F36" i="3"/>
  <c r="G36" i="3"/>
  <c r="H36" i="3"/>
  <c r="D37" i="3"/>
  <c r="E37" i="3"/>
  <c r="F37" i="3"/>
  <c r="G37" i="3"/>
  <c r="H37" i="3"/>
  <c r="D38" i="3"/>
  <c r="E38" i="3"/>
  <c r="F38" i="3"/>
  <c r="G38" i="3"/>
  <c r="H38" i="3"/>
  <c r="D39" i="3"/>
  <c r="E39" i="3"/>
  <c r="F39" i="3"/>
  <c r="G39" i="3"/>
  <c r="H39" i="3"/>
  <c r="D40" i="3"/>
  <c r="E40" i="3"/>
  <c r="F40" i="3"/>
  <c r="G40" i="3"/>
  <c r="H40" i="3"/>
  <c r="D41" i="3"/>
  <c r="E41" i="3"/>
  <c r="F41" i="3"/>
  <c r="G41" i="3"/>
  <c r="H41" i="3"/>
  <c r="D42" i="3"/>
  <c r="E42" i="3"/>
  <c r="F42" i="3"/>
  <c r="G42" i="3"/>
  <c r="H42" i="3"/>
  <c r="D43" i="3"/>
  <c r="E43" i="3"/>
  <c r="F43" i="3"/>
  <c r="G43" i="3"/>
  <c r="H43" i="3"/>
  <c r="D44" i="3"/>
  <c r="E44" i="3"/>
  <c r="F44" i="3"/>
  <c r="G44" i="3"/>
  <c r="H44" i="3"/>
  <c r="D45" i="3"/>
  <c r="E45" i="3"/>
  <c r="F45" i="3"/>
  <c r="G45" i="3"/>
  <c r="H45" i="3"/>
  <c r="D46" i="3"/>
  <c r="E46" i="3"/>
  <c r="F46" i="3"/>
  <c r="G46" i="3"/>
  <c r="H46" i="3"/>
  <c r="D47" i="3"/>
  <c r="E47" i="3"/>
  <c r="F47" i="3"/>
  <c r="G47" i="3"/>
  <c r="H47" i="3"/>
  <c r="D48" i="3"/>
  <c r="E48" i="3"/>
  <c r="F48" i="3"/>
  <c r="G48" i="3"/>
  <c r="H48" i="3"/>
  <c r="D49" i="3"/>
  <c r="E49" i="3"/>
  <c r="F49" i="3"/>
  <c r="G49" i="3"/>
  <c r="H49" i="3"/>
  <c r="D50" i="3"/>
  <c r="E50" i="3"/>
  <c r="F50" i="3"/>
  <c r="G50" i="3"/>
  <c r="H50" i="3"/>
  <c r="D51" i="3"/>
  <c r="E51" i="3"/>
  <c r="F51" i="3"/>
  <c r="G51" i="3"/>
  <c r="H51" i="3"/>
  <c r="D52" i="3"/>
  <c r="E52" i="3"/>
  <c r="F52" i="3"/>
  <c r="G52" i="3"/>
  <c r="H52" i="3"/>
  <c r="D53" i="3"/>
  <c r="E53" i="3"/>
  <c r="F53" i="3"/>
  <c r="G53" i="3"/>
  <c r="H53" i="3"/>
  <c r="D54" i="3"/>
  <c r="E54" i="3"/>
  <c r="F54" i="3"/>
  <c r="G54" i="3"/>
  <c r="H54" i="3"/>
  <c r="D55" i="3"/>
  <c r="E55" i="3"/>
  <c r="F55" i="3"/>
  <c r="G55" i="3"/>
  <c r="H55" i="3"/>
  <c r="D56" i="3"/>
  <c r="E56" i="3"/>
  <c r="F56" i="3"/>
  <c r="G56" i="3"/>
  <c r="H56" i="3"/>
  <c r="D57" i="3"/>
  <c r="E57" i="3"/>
  <c r="F57" i="3"/>
  <c r="G57" i="3"/>
  <c r="H57" i="3"/>
  <c r="D58" i="3"/>
  <c r="E58" i="3"/>
  <c r="F58" i="3"/>
  <c r="G58" i="3"/>
  <c r="H58" i="3"/>
  <c r="D59" i="3"/>
  <c r="E59" i="3"/>
  <c r="F59" i="3"/>
  <c r="G59" i="3"/>
  <c r="H59" i="3"/>
  <c r="D60" i="3"/>
  <c r="E60" i="3"/>
  <c r="F60" i="3"/>
  <c r="G60" i="3"/>
  <c r="H60" i="3"/>
  <c r="D61" i="3"/>
  <c r="E61" i="3"/>
  <c r="F61" i="3"/>
  <c r="G61" i="3"/>
  <c r="H61" i="3"/>
  <c r="D62" i="3"/>
  <c r="E62" i="3"/>
  <c r="F62" i="3"/>
  <c r="G62" i="3"/>
  <c r="H62" i="3"/>
  <c r="D63" i="3"/>
  <c r="E63" i="3"/>
  <c r="F63" i="3"/>
  <c r="G63" i="3"/>
  <c r="H63" i="3"/>
  <c r="D64" i="3"/>
  <c r="E64" i="3"/>
  <c r="F64" i="3"/>
  <c r="G64" i="3"/>
  <c r="H64" i="3"/>
  <c r="D65" i="3"/>
  <c r="E65" i="3"/>
  <c r="F65" i="3"/>
  <c r="G65" i="3"/>
  <c r="H65" i="3"/>
  <c r="D66" i="3"/>
  <c r="E66" i="3"/>
  <c r="F66" i="3"/>
  <c r="G66" i="3"/>
  <c r="H66" i="3"/>
  <c r="D67" i="3"/>
  <c r="E67" i="3"/>
  <c r="F67" i="3"/>
  <c r="G67" i="3"/>
  <c r="H67" i="3"/>
  <c r="D68" i="3"/>
  <c r="E68" i="3"/>
  <c r="F68" i="3"/>
  <c r="G68" i="3"/>
  <c r="H68" i="3"/>
  <c r="D69" i="3"/>
  <c r="E69" i="3"/>
  <c r="F69" i="3"/>
  <c r="G69" i="3"/>
  <c r="H69" i="3"/>
  <c r="D70" i="3"/>
  <c r="E70" i="3"/>
  <c r="F70" i="3"/>
  <c r="G70" i="3"/>
  <c r="H70" i="3"/>
  <c r="D71" i="3"/>
  <c r="E71" i="3"/>
  <c r="F71" i="3"/>
  <c r="G71" i="3"/>
  <c r="H71" i="3"/>
  <c r="D72" i="3"/>
  <c r="E72" i="3"/>
  <c r="F72" i="3"/>
  <c r="G72" i="3"/>
  <c r="H72" i="3"/>
  <c r="D73" i="3"/>
  <c r="E73" i="3"/>
  <c r="F73" i="3"/>
  <c r="G73" i="3"/>
  <c r="H73" i="3"/>
  <c r="D74" i="3"/>
  <c r="E74" i="3"/>
  <c r="F74" i="3"/>
  <c r="G74" i="3"/>
  <c r="H74" i="3"/>
  <c r="D75" i="3"/>
  <c r="E75" i="3"/>
  <c r="F75" i="3"/>
  <c r="G75" i="3"/>
  <c r="H75" i="3"/>
  <c r="D76" i="3"/>
  <c r="E76" i="3"/>
  <c r="F76" i="3"/>
  <c r="G76" i="3"/>
  <c r="H76" i="3"/>
  <c r="D77" i="3"/>
  <c r="E77" i="3"/>
  <c r="F77" i="3"/>
  <c r="G77" i="3"/>
  <c r="H77" i="3"/>
  <c r="D78" i="3"/>
  <c r="E78" i="3"/>
  <c r="F78" i="3"/>
  <c r="G78" i="3"/>
  <c r="H78" i="3"/>
  <c r="D79" i="3"/>
  <c r="E79" i="3"/>
  <c r="F79" i="3"/>
  <c r="G79" i="3"/>
  <c r="H79" i="3"/>
  <c r="D80" i="3"/>
  <c r="E80" i="3"/>
  <c r="F80" i="3"/>
  <c r="G80" i="3"/>
  <c r="H80" i="3"/>
  <c r="D81" i="3"/>
  <c r="E81" i="3"/>
  <c r="F81" i="3"/>
  <c r="G81" i="3"/>
  <c r="H81" i="3"/>
  <c r="D82" i="3"/>
  <c r="E82" i="3"/>
  <c r="F82" i="3"/>
  <c r="G82" i="3"/>
  <c r="H82" i="3"/>
  <c r="D83" i="3"/>
  <c r="E83" i="3"/>
  <c r="F83" i="3"/>
  <c r="G83" i="3"/>
  <c r="H83" i="3"/>
  <c r="D84" i="3"/>
  <c r="E84" i="3"/>
  <c r="F84" i="3"/>
  <c r="G84" i="3"/>
  <c r="H84" i="3"/>
  <c r="D85" i="3"/>
  <c r="E85" i="3"/>
  <c r="F85" i="3"/>
  <c r="G85" i="3"/>
  <c r="H85" i="3"/>
  <c r="D86" i="3"/>
  <c r="E86" i="3"/>
  <c r="F86" i="3"/>
  <c r="G86" i="3"/>
  <c r="H86" i="3"/>
  <c r="D87" i="3"/>
  <c r="E87" i="3"/>
  <c r="F87" i="3"/>
  <c r="G87" i="3"/>
  <c r="H87" i="3"/>
  <c r="D88" i="3"/>
  <c r="E88" i="3"/>
  <c r="F88" i="3"/>
  <c r="G88" i="3"/>
  <c r="H88" i="3"/>
  <c r="D89" i="3"/>
  <c r="E89" i="3"/>
  <c r="F89" i="3"/>
  <c r="G89" i="3"/>
  <c r="H89" i="3"/>
  <c r="D90" i="3"/>
  <c r="E90" i="3"/>
  <c r="F90" i="3"/>
  <c r="G90" i="3"/>
  <c r="H90" i="3"/>
  <c r="D91" i="3"/>
  <c r="E91" i="3"/>
  <c r="F91" i="3"/>
  <c r="G91" i="3"/>
  <c r="H91" i="3"/>
  <c r="D92" i="3"/>
  <c r="E92" i="3"/>
  <c r="F92" i="3"/>
  <c r="G92" i="3"/>
  <c r="H92" i="3"/>
  <c r="D93" i="3"/>
  <c r="E93" i="3"/>
  <c r="F93" i="3"/>
  <c r="G93" i="3"/>
  <c r="H93" i="3"/>
  <c r="D94" i="3"/>
  <c r="E94" i="3"/>
  <c r="F94" i="3"/>
  <c r="G94" i="3"/>
  <c r="H94" i="3"/>
  <c r="D95" i="3"/>
  <c r="E95" i="3"/>
  <c r="F95" i="3"/>
  <c r="G95" i="3"/>
  <c r="H95" i="3"/>
  <c r="D96" i="3"/>
  <c r="E96" i="3"/>
  <c r="F96" i="3"/>
  <c r="G96" i="3"/>
  <c r="H96" i="3"/>
  <c r="D97" i="3"/>
  <c r="E97" i="3"/>
  <c r="F97" i="3"/>
  <c r="G97" i="3"/>
  <c r="H97" i="3"/>
  <c r="D98" i="3"/>
  <c r="E98" i="3"/>
  <c r="F98" i="3"/>
  <c r="G98" i="3"/>
  <c r="H98" i="3"/>
  <c r="D99" i="3"/>
  <c r="E99" i="3"/>
  <c r="F99" i="3"/>
  <c r="G99" i="3"/>
  <c r="H99" i="3"/>
  <c r="D100" i="3"/>
  <c r="E100" i="3"/>
  <c r="F100" i="3"/>
  <c r="G100" i="3"/>
  <c r="H100" i="3"/>
  <c r="D101" i="3"/>
  <c r="E101" i="3"/>
  <c r="F101" i="3"/>
  <c r="G101" i="3"/>
  <c r="H101" i="3"/>
  <c r="D102" i="3"/>
  <c r="E102" i="3"/>
  <c r="F102" i="3"/>
  <c r="G102" i="3"/>
  <c r="H102" i="3"/>
  <c r="D103" i="3"/>
  <c r="E103" i="3"/>
  <c r="F103" i="3"/>
  <c r="G103" i="3"/>
  <c r="H103" i="3"/>
  <c r="D104" i="3"/>
  <c r="E104" i="3"/>
  <c r="F104" i="3"/>
  <c r="G104" i="3"/>
  <c r="H104" i="3"/>
  <c r="D105" i="3"/>
  <c r="E105" i="3"/>
  <c r="F105" i="3"/>
  <c r="G105" i="3"/>
  <c r="H105" i="3"/>
  <c r="D106" i="3"/>
  <c r="E106" i="3"/>
  <c r="F106" i="3"/>
  <c r="G106" i="3"/>
  <c r="H106" i="3"/>
  <c r="D107" i="3"/>
  <c r="E107" i="3"/>
  <c r="F107" i="3"/>
  <c r="G107" i="3"/>
  <c r="H107" i="3"/>
  <c r="D108" i="3"/>
  <c r="E108" i="3"/>
  <c r="F108" i="3"/>
  <c r="G108" i="3"/>
  <c r="H108" i="3"/>
  <c r="D109" i="3"/>
  <c r="E109" i="3"/>
  <c r="F109" i="3"/>
  <c r="G109" i="3"/>
  <c r="H109" i="3"/>
  <c r="D110" i="3"/>
  <c r="E110" i="3"/>
  <c r="F110" i="3"/>
  <c r="G110" i="3"/>
  <c r="H110" i="3"/>
  <c r="D111" i="3"/>
  <c r="E111" i="3"/>
  <c r="F111" i="3"/>
  <c r="G111" i="3"/>
  <c r="H111" i="3"/>
  <c r="D112" i="3"/>
  <c r="E112" i="3"/>
  <c r="F112" i="3"/>
  <c r="G112" i="3"/>
  <c r="H112" i="3"/>
  <c r="D113" i="3"/>
  <c r="E113" i="3"/>
  <c r="F113" i="3"/>
  <c r="G113" i="3"/>
  <c r="H113" i="3"/>
  <c r="D114" i="3"/>
  <c r="E114" i="3"/>
  <c r="F114" i="3"/>
  <c r="G114" i="3"/>
  <c r="H114" i="3"/>
  <c r="D115" i="3"/>
  <c r="E115" i="3"/>
  <c r="F115" i="3"/>
  <c r="G115" i="3"/>
  <c r="H115" i="3"/>
  <c r="D116" i="3"/>
  <c r="E116" i="3"/>
  <c r="F116" i="3"/>
  <c r="G116" i="3"/>
  <c r="H116" i="3"/>
  <c r="D117" i="3"/>
  <c r="E117" i="3"/>
  <c r="F117" i="3"/>
  <c r="G117" i="3"/>
  <c r="H117" i="3"/>
  <c r="D118" i="3"/>
  <c r="E118" i="3"/>
  <c r="F118" i="3"/>
  <c r="G118" i="3"/>
  <c r="H118" i="3"/>
  <c r="D119" i="3"/>
  <c r="E119" i="3"/>
  <c r="F119" i="3"/>
  <c r="G119" i="3"/>
  <c r="H119" i="3"/>
  <c r="D120" i="3"/>
  <c r="E120" i="3"/>
  <c r="F120" i="3"/>
  <c r="G120" i="3"/>
  <c r="H120" i="3"/>
  <c r="D121" i="3"/>
  <c r="E121" i="3"/>
  <c r="F121" i="3"/>
  <c r="G121" i="3"/>
  <c r="H121" i="3"/>
  <c r="D122" i="3"/>
  <c r="E122" i="3"/>
  <c r="F122" i="3"/>
  <c r="G122" i="3"/>
  <c r="H122" i="3"/>
  <c r="D123" i="3"/>
  <c r="E123" i="3"/>
  <c r="F123" i="3"/>
  <c r="G123" i="3"/>
  <c r="H123" i="3"/>
  <c r="D124" i="3"/>
  <c r="E124" i="3"/>
  <c r="F124" i="3"/>
  <c r="G124" i="3"/>
  <c r="H124" i="3"/>
  <c r="D125" i="3"/>
  <c r="E125" i="3"/>
  <c r="F125" i="3"/>
  <c r="G125" i="3"/>
  <c r="H125" i="3"/>
  <c r="D126" i="3"/>
  <c r="E126" i="3"/>
  <c r="F126" i="3"/>
  <c r="G126" i="3"/>
  <c r="H126" i="3"/>
  <c r="D127" i="3"/>
  <c r="E127" i="3"/>
  <c r="F127" i="3"/>
  <c r="G127" i="3"/>
  <c r="H127" i="3"/>
  <c r="D128" i="3"/>
  <c r="E128" i="3"/>
  <c r="F128" i="3"/>
  <c r="G128" i="3"/>
  <c r="H128" i="3"/>
  <c r="D129" i="3"/>
  <c r="E129" i="3"/>
  <c r="F129" i="3"/>
  <c r="G129" i="3"/>
  <c r="H129" i="3"/>
  <c r="D130" i="3"/>
  <c r="E130" i="3"/>
  <c r="F130" i="3"/>
  <c r="G130" i="3"/>
  <c r="H130" i="3"/>
  <c r="D131" i="3"/>
  <c r="E131" i="3"/>
  <c r="F131" i="3"/>
  <c r="G131" i="3"/>
  <c r="H131" i="3"/>
  <c r="D132" i="3"/>
  <c r="E132" i="3"/>
  <c r="F132" i="3"/>
  <c r="G132" i="3"/>
  <c r="H132" i="3"/>
  <c r="D133" i="3"/>
  <c r="E133" i="3"/>
  <c r="F133" i="3"/>
  <c r="G133" i="3"/>
  <c r="H133" i="3"/>
  <c r="D134" i="3"/>
  <c r="E134" i="3"/>
  <c r="F134" i="3"/>
  <c r="G134" i="3"/>
  <c r="H134" i="3"/>
  <c r="N24" i="3"/>
  <c r="R51" i="1"/>
  <c r="R57" i="1"/>
  <c r="R66" i="1"/>
  <c r="K24" i="3"/>
  <c r="R48" i="1"/>
  <c r="R56" i="1"/>
  <c r="I18" i="1"/>
  <c r="J18" i="1"/>
  <c r="K18" i="1"/>
  <c r="L18" i="1"/>
  <c r="M18" i="1"/>
  <c r="N18" i="1"/>
  <c r="O18" i="1"/>
  <c r="P18" i="1"/>
  <c r="Q18" i="1"/>
  <c r="R18" i="1"/>
  <c r="I24" i="1"/>
  <c r="J24" i="1"/>
  <c r="K24" i="1"/>
  <c r="L24" i="1"/>
  <c r="M24" i="1"/>
  <c r="N24" i="1"/>
  <c r="O24" i="1"/>
  <c r="P24" i="1"/>
  <c r="Q24" i="1"/>
  <c r="R24" i="1"/>
  <c r="R25" i="1"/>
  <c r="R26" i="1"/>
  <c r="R34" i="1"/>
  <c r="R65" i="1"/>
  <c r="R67" i="1"/>
  <c r="K15" i="3"/>
  <c r="I48" i="1"/>
  <c r="I56" i="1"/>
  <c r="I25" i="1"/>
  <c r="I26" i="1"/>
  <c r="I34" i="1"/>
  <c r="I65" i="1"/>
  <c r="I67" i="1"/>
  <c r="K16" i="3"/>
  <c r="J48" i="1"/>
  <c r="J56" i="1"/>
  <c r="J25" i="1"/>
  <c r="J26" i="1"/>
  <c r="J34" i="1"/>
  <c r="J65" i="1"/>
  <c r="J67" i="1"/>
  <c r="K17" i="3"/>
  <c r="K48" i="1"/>
  <c r="K56" i="1"/>
  <c r="K25" i="1"/>
  <c r="K26" i="1"/>
  <c r="K30" i="1"/>
  <c r="K33" i="1"/>
  <c r="K34" i="1"/>
  <c r="K65" i="1"/>
  <c r="K67" i="1"/>
  <c r="K18" i="3"/>
  <c r="L48" i="1"/>
  <c r="L56" i="1"/>
  <c r="L25" i="1"/>
  <c r="L26" i="1"/>
  <c r="L34" i="1"/>
  <c r="L65" i="1"/>
  <c r="L67" i="1"/>
  <c r="K19" i="3"/>
  <c r="M48" i="1"/>
  <c r="M56" i="1"/>
  <c r="M25" i="1"/>
  <c r="M26" i="1"/>
  <c r="M34" i="1"/>
  <c r="M65" i="1"/>
  <c r="M67" i="1"/>
  <c r="K20" i="3"/>
  <c r="N48" i="1"/>
  <c r="N56" i="1"/>
  <c r="N25" i="1"/>
  <c r="N26" i="1"/>
  <c r="N34" i="1"/>
  <c r="N65" i="1"/>
  <c r="N67" i="1"/>
  <c r="K21" i="3"/>
  <c r="O48" i="1"/>
  <c r="O56" i="1"/>
  <c r="O25" i="1"/>
  <c r="O26" i="1"/>
  <c r="O34" i="1"/>
  <c r="O65" i="1"/>
  <c r="O67" i="1"/>
  <c r="K22" i="3"/>
  <c r="P48" i="1"/>
  <c r="P56" i="1"/>
  <c r="P25" i="1"/>
  <c r="P26" i="1"/>
  <c r="P30" i="1"/>
  <c r="P33" i="1"/>
  <c r="P34" i="1"/>
  <c r="P65" i="1"/>
  <c r="P67" i="1"/>
  <c r="K23" i="3"/>
  <c r="Q48" i="1"/>
  <c r="Q56" i="1"/>
  <c r="Q25" i="1"/>
  <c r="Q26" i="1"/>
  <c r="Q34" i="1"/>
  <c r="Q65" i="1"/>
  <c r="Q67" i="1"/>
  <c r="H64" i="1"/>
  <c r="H67" i="1"/>
  <c r="I20" i="1"/>
  <c r="I21" i="1"/>
  <c r="I16" i="1"/>
  <c r="I23" i="1"/>
  <c r="J16" i="1"/>
  <c r="J23" i="1"/>
  <c r="J21" i="1"/>
  <c r="K21" i="1"/>
  <c r="L21" i="1"/>
  <c r="M21" i="1"/>
  <c r="N21" i="1"/>
  <c r="O21" i="1"/>
  <c r="P21" i="1"/>
  <c r="Q21" i="1"/>
  <c r="R21" i="1"/>
  <c r="J20" i="1"/>
  <c r="K20" i="1"/>
  <c r="L20" i="1"/>
  <c r="M20" i="1"/>
  <c r="N20" i="1"/>
  <c r="O20" i="1"/>
  <c r="P20" i="1"/>
  <c r="Q20" i="1"/>
  <c r="R20" i="1"/>
  <c r="K19" i="1"/>
  <c r="L19" i="1"/>
  <c r="M19" i="1"/>
  <c r="N19" i="1"/>
  <c r="O19" i="1"/>
  <c r="P19" i="1"/>
  <c r="Q19" i="1"/>
  <c r="R19" i="1"/>
  <c r="J19" i="1"/>
  <c r="I19" i="1"/>
  <c r="K12" i="1"/>
  <c r="L12" i="1"/>
  <c r="M12" i="1"/>
  <c r="N12" i="1"/>
  <c r="O12" i="1"/>
  <c r="P12" i="1"/>
  <c r="Q12" i="1"/>
  <c r="R12" i="1"/>
  <c r="J12" i="1"/>
  <c r="I8" i="1"/>
  <c r="I12" i="1"/>
  <c r="J8" i="1"/>
  <c r="K8" i="1"/>
  <c r="L8" i="1"/>
  <c r="M8" i="1"/>
  <c r="N8" i="1"/>
  <c r="O8" i="1"/>
  <c r="P8" i="1"/>
  <c r="Q8" i="1"/>
  <c r="R8" i="1"/>
  <c r="I10" i="1"/>
  <c r="I13" i="1"/>
  <c r="J10" i="1"/>
  <c r="J13" i="1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J84" i="1"/>
  <c r="K10" i="1"/>
  <c r="K13" i="1"/>
  <c r="K16" i="1"/>
  <c r="K23" i="1"/>
  <c r="K84" i="1"/>
  <c r="L10" i="1"/>
  <c r="L13" i="1"/>
  <c r="L16" i="1"/>
  <c r="L23" i="1"/>
  <c r="L84" i="1"/>
  <c r="M10" i="1"/>
  <c r="M13" i="1"/>
  <c r="M16" i="1"/>
  <c r="M23" i="1"/>
  <c r="M84" i="1"/>
  <c r="N10" i="1"/>
  <c r="N13" i="1"/>
  <c r="N16" i="1"/>
  <c r="N23" i="1"/>
  <c r="N84" i="1"/>
  <c r="O10" i="1"/>
  <c r="O13" i="1"/>
  <c r="O16" i="1"/>
  <c r="O23" i="1"/>
  <c r="O84" i="1"/>
  <c r="P10" i="1"/>
  <c r="P13" i="1"/>
  <c r="P16" i="1"/>
  <c r="P23" i="1"/>
  <c r="P84" i="1"/>
  <c r="Q10" i="1"/>
  <c r="Q13" i="1"/>
  <c r="Q16" i="1"/>
  <c r="Q23" i="1"/>
  <c r="Q84" i="1"/>
  <c r="R10" i="1"/>
  <c r="R13" i="1"/>
  <c r="R16" i="1"/>
  <c r="R23" i="1"/>
  <c r="R84" i="1"/>
  <c r="I84" i="1"/>
  <c r="J30" i="1"/>
  <c r="J33" i="1"/>
  <c r="J80" i="1"/>
  <c r="K80" i="1"/>
  <c r="L30" i="1"/>
  <c r="L33" i="1"/>
  <c r="L80" i="1"/>
  <c r="M30" i="1"/>
  <c r="M33" i="1"/>
  <c r="M80" i="1"/>
  <c r="N30" i="1"/>
  <c r="N33" i="1"/>
  <c r="N80" i="1"/>
  <c r="O30" i="1"/>
  <c r="O33" i="1"/>
  <c r="O80" i="1"/>
  <c r="P80" i="1"/>
  <c r="Q30" i="1"/>
  <c r="Q33" i="1"/>
  <c r="Q80" i="1"/>
  <c r="R30" i="1"/>
  <c r="R33" i="1"/>
  <c r="C17" i="1"/>
  <c r="C19" i="1"/>
  <c r="R80" i="1"/>
  <c r="I30" i="1"/>
  <c r="I33" i="1"/>
  <c r="I80" i="1"/>
  <c r="J79" i="1"/>
  <c r="K79" i="1"/>
  <c r="L79" i="1"/>
  <c r="M79" i="1"/>
  <c r="N79" i="1"/>
  <c r="O79" i="1"/>
  <c r="P79" i="1"/>
  <c r="Q79" i="1"/>
  <c r="R79" i="1"/>
  <c r="I79" i="1"/>
  <c r="H69" i="1"/>
  <c r="I75" i="1"/>
  <c r="H38" i="1"/>
  <c r="H41" i="1"/>
  <c r="I39" i="1"/>
  <c r="I41" i="1"/>
  <c r="J39" i="1"/>
  <c r="J41" i="1"/>
  <c r="K39" i="1"/>
  <c r="K41" i="1"/>
  <c r="L39" i="1"/>
  <c r="L41" i="1"/>
  <c r="M39" i="1"/>
  <c r="M41" i="1"/>
  <c r="N39" i="1"/>
  <c r="N41" i="1"/>
  <c r="O39" i="1"/>
  <c r="O41" i="1"/>
  <c r="P39" i="1"/>
  <c r="P41" i="1"/>
  <c r="Q39" i="1"/>
  <c r="Q41" i="1"/>
  <c r="R39" i="1"/>
  <c r="R41" i="1"/>
  <c r="H43" i="1"/>
  <c r="I74" i="1"/>
  <c r="I58" i="1"/>
  <c r="J58" i="1"/>
  <c r="K58" i="1"/>
  <c r="L58" i="1"/>
  <c r="M58" i="1"/>
  <c r="N58" i="1"/>
  <c r="O58" i="1"/>
  <c r="P58" i="1"/>
  <c r="Q58" i="1"/>
  <c r="R58" i="1"/>
  <c r="H58" i="1"/>
  <c r="H60" i="1"/>
  <c r="D135" i="3"/>
  <c r="F135" i="3"/>
  <c r="G135" i="3"/>
  <c r="H135" i="3"/>
  <c r="D136" i="3"/>
  <c r="F136" i="3"/>
  <c r="G136" i="3"/>
  <c r="H136" i="3"/>
  <c r="D137" i="3"/>
  <c r="F137" i="3"/>
  <c r="G137" i="3"/>
  <c r="H137" i="3"/>
  <c r="D138" i="3"/>
  <c r="F138" i="3"/>
  <c r="G138" i="3"/>
  <c r="H138" i="3"/>
  <c r="D139" i="3"/>
  <c r="F139" i="3"/>
  <c r="G139" i="3"/>
  <c r="H139" i="3"/>
  <c r="D140" i="3"/>
  <c r="F140" i="3"/>
  <c r="G140" i="3"/>
  <c r="H140" i="3"/>
  <c r="D141" i="3"/>
  <c r="F141" i="3"/>
  <c r="G141" i="3"/>
  <c r="H141" i="3"/>
  <c r="D142" i="3"/>
  <c r="F142" i="3"/>
  <c r="G142" i="3"/>
  <c r="H142" i="3"/>
  <c r="D143" i="3"/>
  <c r="F143" i="3"/>
  <c r="G143" i="3"/>
  <c r="H143" i="3"/>
  <c r="D144" i="3"/>
  <c r="F144" i="3"/>
  <c r="G144" i="3"/>
  <c r="H144" i="3"/>
  <c r="D145" i="3"/>
  <c r="F145" i="3"/>
  <c r="G145" i="3"/>
  <c r="H145" i="3"/>
  <c r="D146" i="3"/>
  <c r="F146" i="3"/>
  <c r="G146" i="3"/>
  <c r="H146" i="3"/>
  <c r="D147" i="3"/>
  <c r="F147" i="3"/>
  <c r="G147" i="3"/>
  <c r="H147" i="3"/>
  <c r="D148" i="3"/>
  <c r="F148" i="3"/>
  <c r="G148" i="3"/>
  <c r="H148" i="3"/>
  <c r="D149" i="3"/>
  <c r="F149" i="3"/>
  <c r="G149" i="3"/>
  <c r="H149" i="3"/>
  <c r="D150" i="3"/>
  <c r="F150" i="3"/>
  <c r="G150" i="3"/>
  <c r="H150" i="3"/>
  <c r="D151" i="3"/>
  <c r="F151" i="3"/>
  <c r="G151" i="3"/>
  <c r="H151" i="3"/>
  <c r="D152" i="3"/>
  <c r="F152" i="3"/>
  <c r="G152" i="3"/>
  <c r="H152" i="3"/>
  <c r="D153" i="3"/>
  <c r="F153" i="3"/>
  <c r="G153" i="3"/>
  <c r="H153" i="3"/>
  <c r="D154" i="3"/>
  <c r="F154" i="3"/>
  <c r="G154" i="3"/>
  <c r="H154" i="3"/>
  <c r="D155" i="3"/>
  <c r="F155" i="3"/>
  <c r="G155" i="3"/>
  <c r="H155" i="3"/>
  <c r="D156" i="3"/>
  <c r="F156" i="3"/>
  <c r="G156" i="3"/>
  <c r="H156" i="3"/>
  <c r="D157" i="3"/>
  <c r="F157" i="3"/>
  <c r="G157" i="3"/>
  <c r="H157" i="3"/>
  <c r="D158" i="3"/>
  <c r="F158" i="3"/>
  <c r="G158" i="3"/>
  <c r="H158" i="3"/>
  <c r="D159" i="3"/>
  <c r="F159" i="3"/>
  <c r="G159" i="3"/>
  <c r="H159" i="3"/>
  <c r="D160" i="3"/>
  <c r="F160" i="3"/>
  <c r="G160" i="3"/>
  <c r="H160" i="3"/>
  <c r="D161" i="3"/>
  <c r="F161" i="3"/>
  <c r="G161" i="3"/>
  <c r="H161" i="3"/>
  <c r="D162" i="3"/>
  <c r="F162" i="3"/>
  <c r="G162" i="3"/>
  <c r="H162" i="3"/>
  <c r="D163" i="3"/>
  <c r="F163" i="3"/>
  <c r="G163" i="3"/>
  <c r="H163" i="3"/>
  <c r="D164" i="3"/>
  <c r="F164" i="3"/>
  <c r="G164" i="3"/>
  <c r="H164" i="3"/>
  <c r="D165" i="3"/>
  <c r="F165" i="3"/>
  <c r="G165" i="3"/>
  <c r="H165" i="3"/>
  <c r="D166" i="3"/>
  <c r="F166" i="3"/>
  <c r="G166" i="3"/>
  <c r="H166" i="3"/>
  <c r="D167" i="3"/>
  <c r="F167" i="3"/>
  <c r="G167" i="3"/>
  <c r="H167" i="3"/>
  <c r="D168" i="3"/>
  <c r="F168" i="3"/>
  <c r="G168" i="3"/>
  <c r="H168" i="3"/>
  <c r="D169" i="3"/>
  <c r="F169" i="3"/>
  <c r="G169" i="3"/>
  <c r="H169" i="3"/>
  <c r="D170" i="3"/>
  <c r="F170" i="3"/>
  <c r="G170" i="3"/>
  <c r="H170" i="3"/>
  <c r="D171" i="3"/>
  <c r="F171" i="3"/>
  <c r="G171" i="3"/>
  <c r="H171" i="3"/>
  <c r="D172" i="3"/>
  <c r="F172" i="3"/>
  <c r="G172" i="3"/>
  <c r="H172" i="3"/>
  <c r="D173" i="3"/>
  <c r="F173" i="3"/>
  <c r="G173" i="3"/>
  <c r="H173" i="3"/>
  <c r="D174" i="3"/>
  <c r="F174" i="3"/>
  <c r="G174" i="3"/>
  <c r="H174" i="3"/>
  <c r="D175" i="3"/>
  <c r="F175" i="3"/>
  <c r="G175" i="3"/>
  <c r="H175" i="3"/>
  <c r="D176" i="3"/>
  <c r="F176" i="3"/>
  <c r="G176" i="3"/>
  <c r="H176" i="3"/>
  <c r="D177" i="3"/>
  <c r="F177" i="3"/>
  <c r="G177" i="3"/>
  <c r="H177" i="3"/>
  <c r="D178" i="3"/>
  <c r="F178" i="3"/>
  <c r="G178" i="3"/>
  <c r="H178" i="3"/>
  <c r="D179" i="3"/>
  <c r="F179" i="3"/>
  <c r="G179" i="3"/>
  <c r="H179" i="3"/>
  <c r="D180" i="3"/>
  <c r="F180" i="3"/>
  <c r="G180" i="3"/>
  <c r="H180" i="3"/>
  <c r="D181" i="3"/>
  <c r="F181" i="3"/>
  <c r="G181" i="3"/>
  <c r="H181" i="3"/>
  <c r="D182" i="3"/>
  <c r="F182" i="3"/>
  <c r="G182" i="3"/>
  <c r="H182" i="3"/>
  <c r="D183" i="3"/>
  <c r="F183" i="3"/>
  <c r="G183" i="3"/>
  <c r="H183" i="3"/>
  <c r="D184" i="3"/>
  <c r="F184" i="3"/>
  <c r="G184" i="3"/>
  <c r="H184" i="3"/>
  <c r="D185" i="3"/>
  <c r="F185" i="3"/>
  <c r="G185" i="3"/>
  <c r="H185" i="3"/>
  <c r="D186" i="3"/>
  <c r="F186" i="3"/>
  <c r="G186" i="3"/>
  <c r="H186" i="3"/>
  <c r="D187" i="3"/>
  <c r="F187" i="3"/>
  <c r="G187" i="3"/>
  <c r="H187" i="3"/>
  <c r="D188" i="3"/>
  <c r="F188" i="3"/>
  <c r="G188" i="3"/>
  <c r="H188" i="3"/>
  <c r="D189" i="3"/>
  <c r="F189" i="3"/>
  <c r="G189" i="3"/>
  <c r="H189" i="3"/>
  <c r="D190" i="3"/>
  <c r="F190" i="3"/>
  <c r="G190" i="3"/>
  <c r="H190" i="3"/>
  <c r="D191" i="3"/>
  <c r="F191" i="3"/>
  <c r="G191" i="3"/>
  <c r="H191" i="3"/>
  <c r="D192" i="3"/>
  <c r="F192" i="3"/>
  <c r="G192" i="3"/>
  <c r="H192" i="3"/>
  <c r="D193" i="3"/>
  <c r="F193" i="3"/>
  <c r="G193" i="3"/>
  <c r="H193" i="3"/>
  <c r="D194" i="3"/>
  <c r="F194" i="3"/>
  <c r="G194" i="3"/>
  <c r="H194" i="3"/>
  <c r="D195" i="3"/>
  <c r="F195" i="3"/>
  <c r="G195" i="3"/>
  <c r="H195" i="3"/>
  <c r="D196" i="3"/>
  <c r="F196" i="3"/>
  <c r="G196" i="3"/>
  <c r="H196" i="3"/>
  <c r="D197" i="3"/>
  <c r="F197" i="3"/>
  <c r="G197" i="3"/>
  <c r="H197" i="3"/>
  <c r="D198" i="3"/>
  <c r="F198" i="3"/>
  <c r="G198" i="3"/>
  <c r="H198" i="3"/>
  <c r="D199" i="3"/>
  <c r="F199" i="3"/>
  <c r="G199" i="3"/>
  <c r="H199" i="3"/>
  <c r="D200" i="3"/>
  <c r="F200" i="3"/>
  <c r="G200" i="3"/>
  <c r="H200" i="3"/>
  <c r="D201" i="3"/>
  <c r="F201" i="3"/>
  <c r="G201" i="3"/>
  <c r="H201" i="3"/>
  <c r="D202" i="3"/>
  <c r="F202" i="3"/>
  <c r="G202" i="3"/>
  <c r="H202" i="3"/>
  <c r="D203" i="3"/>
  <c r="F203" i="3"/>
  <c r="G203" i="3"/>
  <c r="H203" i="3"/>
  <c r="D204" i="3"/>
  <c r="F204" i="3"/>
  <c r="G204" i="3"/>
  <c r="H204" i="3"/>
  <c r="D205" i="3"/>
  <c r="F205" i="3"/>
  <c r="G205" i="3"/>
  <c r="H205" i="3"/>
  <c r="D206" i="3"/>
  <c r="F206" i="3"/>
  <c r="G206" i="3"/>
  <c r="H206" i="3"/>
  <c r="D207" i="3"/>
  <c r="F207" i="3"/>
  <c r="G207" i="3"/>
  <c r="H207" i="3"/>
  <c r="D208" i="3"/>
  <c r="F208" i="3"/>
  <c r="G208" i="3"/>
  <c r="H208" i="3"/>
  <c r="D209" i="3"/>
  <c r="F209" i="3"/>
  <c r="G209" i="3"/>
  <c r="H209" i="3"/>
  <c r="D210" i="3"/>
  <c r="F210" i="3"/>
  <c r="G210" i="3"/>
  <c r="H210" i="3"/>
  <c r="D211" i="3"/>
  <c r="F211" i="3"/>
  <c r="G211" i="3"/>
  <c r="H211" i="3"/>
  <c r="D212" i="3"/>
  <c r="F212" i="3"/>
  <c r="G212" i="3"/>
  <c r="H212" i="3"/>
  <c r="D213" i="3"/>
  <c r="F213" i="3"/>
  <c r="G213" i="3"/>
  <c r="H213" i="3"/>
  <c r="D214" i="3"/>
  <c r="F214" i="3"/>
  <c r="G214" i="3"/>
  <c r="H214" i="3"/>
  <c r="D215" i="3"/>
  <c r="F215" i="3"/>
  <c r="G215" i="3"/>
  <c r="H215" i="3"/>
  <c r="D216" i="3"/>
  <c r="F216" i="3"/>
  <c r="G216" i="3"/>
  <c r="H216" i="3"/>
  <c r="D217" i="3"/>
  <c r="F217" i="3"/>
  <c r="G217" i="3"/>
  <c r="H217" i="3"/>
  <c r="D218" i="3"/>
  <c r="F218" i="3"/>
  <c r="G218" i="3"/>
  <c r="H218" i="3"/>
  <c r="D219" i="3"/>
  <c r="F219" i="3"/>
  <c r="G219" i="3"/>
  <c r="H219" i="3"/>
  <c r="D220" i="3"/>
  <c r="F220" i="3"/>
  <c r="G220" i="3"/>
  <c r="H220" i="3"/>
  <c r="D221" i="3"/>
  <c r="F221" i="3"/>
  <c r="G221" i="3"/>
  <c r="H221" i="3"/>
  <c r="D222" i="3"/>
  <c r="F222" i="3"/>
  <c r="G222" i="3"/>
  <c r="H222" i="3"/>
  <c r="D223" i="3"/>
  <c r="F223" i="3"/>
  <c r="G223" i="3"/>
  <c r="H223" i="3"/>
  <c r="D224" i="3"/>
  <c r="F224" i="3"/>
  <c r="G224" i="3"/>
  <c r="H224" i="3"/>
  <c r="D225" i="3"/>
  <c r="F225" i="3"/>
  <c r="G225" i="3"/>
  <c r="H225" i="3"/>
  <c r="D226" i="3"/>
  <c r="F226" i="3"/>
  <c r="G226" i="3"/>
  <c r="H226" i="3"/>
  <c r="D227" i="3"/>
  <c r="F227" i="3"/>
  <c r="G227" i="3"/>
  <c r="H227" i="3"/>
  <c r="D228" i="3"/>
  <c r="F228" i="3"/>
  <c r="G228" i="3"/>
  <c r="H228" i="3"/>
  <c r="D229" i="3"/>
  <c r="F229" i="3"/>
  <c r="G229" i="3"/>
  <c r="H229" i="3"/>
  <c r="D230" i="3"/>
  <c r="F230" i="3"/>
  <c r="G230" i="3"/>
  <c r="H230" i="3"/>
  <c r="D231" i="3"/>
  <c r="F231" i="3"/>
  <c r="G231" i="3"/>
  <c r="H231" i="3"/>
  <c r="D232" i="3"/>
  <c r="F232" i="3"/>
  <c r="G232" i="3"/>
  <c r="H232" i="3"/>
  <c r="D233" i="3"/>
  <c r="F233" i="3"/>
  <c r="G233" i="3"/>
  <c r="H233" i="3"/>
  <c r="D234" i="3"/>
  <c r="F234" i="3"/>
  <c r="G234" i="3"/>
  <c r="H234" i="3"/>
  <c r="D235" i="3"/>
  <c r="F235" i="3"/>
  <c r="G235" i="3"/>
  <c r="H235" i="3"/>
  <c r="D236" i="3"/>
  <c r="F236" i="3"/>
  <c r="G236" i="3"/>
  <c r="H236" i="3"/>
  <c r="D237" i="3"/>
  <c r="F237" i="3"/>
  <c r="G237" i="3"/>
  <c r="H237" i="3"/>
  <c r="D238" i="3"/>
  <c r="F238" i="3"/>
  <c r="G238" i="3"/>
  <c r="H238" i="3"/>
  <c r="D239" i="3"/>
  <c r="F239" i="3"/>
  <c r="G239" i="3"/>
  <c r="H239" i="3"/>
  <c r="D240" i="3"/>
  <c r="F240" i="3"/>
  <c r="G240" i="3"/>
  <c r="H240" i="3"/>
  <c r="D241" i="3"/>
  <c r="F241" i="3"/>
  <c r="G241" i="3"/>
  <c r="H241" i="3"/>
  <c r="D242" i="3"/>
  <c r="F242" i="3"/>
  <c r="G242" i="3"/>
  <c r="H242" i="3"/>
  <c r="D243" i="3"/>
  <c r="F243" i="3"/>
  <c r="G243" i="3"/>
  <c r="H243" i="3"/>
  <c r="D244" i="3"/>
  <c r="F244" i="3"/>
  <c r="G244" i="3"/>
  <c r="H244" i="3"/>
  <c r="D245" i="3"/>
  <c r="F245" i="3"/>
  <c r="G245" i="3"/>
  <c r="H245" i="3"/>
  <c r="D246" i="3"/>
  <c r="F246" i="3"/>
  <c r="G246" i="3"/>
  <c r="H246" i="3"/>
  <c r="D247" i="3"/>
  <c r="F247" i="3"/>
  <c r="G247" i="3"/>
  <c r="H247" i="3"/>
  <c r="D248" i="3"/>
  <c r="F248" i="3"/>
  <c r="G248" i="3"/>
  <c r="H248" i="3"/>
  <c r="D249" i="3"/>
  <c r="F249" i="3"/>
  <c r="G249" i="3"/>
  <c r="H249" i="3"/>
  <c r="D250" i="3"/>
  <c r="F250" i="3"/>
  <c r="G250" i="3"/>
  <c r="H250" i="3"/>
  <c r="D251" i="3"/>
  <c r="F251" i="3"/>
  <c r="G251" i="3"/>
  <c r="H251" i="3"/>
  <c r="D252" i="3"/>
  <c r="F252" i="3"/>
  <c r="G252" i="3"/>
  <c r="H252" i="3"/>
  <c r="D253" i="3"/>
  <c r="F253" i="3"/>
  <c r="G253" i="3"/>
  <c r="H253" i="3"/>
  <c r="D254" i="3"/>
  <c r="F254" i="3"/>
  <c r="G254" i="3"/>
  <c r="H254" i="3"/>
  <c r="D255" i="3"/>
  <c r="F255" i="3"/>
  <c r="G255" i="3"/>
  <c r="H255" i="3"/>
  <c r="D256" i="3"/>
  <c r="F256" i="3"/>
  <c r="G256" i="3"/>
  <c r="H256" i="3"/>
  <c r="D257" i="3"/>
  <c r="F257" i="3"/>
  <c r="G257" i="3"/>
  <c r="H257" i="3"/>
  <c r="D258" i="3"/>
  <c r="F258" i="3"/>
  <c r="G258" i="3"/>
  <c r="H258" i="3"/>
  <c r="D259" i="3"/>
  <c r="F259" i="3"/>
  <c r="G259" i="3"/>
  <c r="H259" i="3"/>
  <c r="D260" i="3"/>
  <c r="F260" i="3"/>
  <c r="G260" i="3"/>
  <c r="H260" i="3"/>
  <c r="D261" i="3"/>
  <c r="F261" i="3"/>
  <c r="G261" i="3"/>
  <c r="H261" i="3"/>
  <c r="D262" i="3"/>
  <c r="F262" i="3"/>
  <c r="G262" i="3"/>
  <c r="H262" i="3"/>
  <c r="D263" i="3"/>
  <c r="F263" i="3"/>
  <c r="G263" i="3"/>
  <c r="H263" i="3"/>
  <c r="D264" i="3"/>
  <c r="F264" i="3"/>
  <c r="G264" i="3"/>
  <c r="H264" i="3"/>
  <c r="D265" i="3"/>
  <c r="F265" i="3"/>
  <c r="G265" i="3"/>
  <c r="H265" i="3"/>
  <c r="D266" i="3"/>
  <c r="F266" i="3"/>
  <c r="G266" i="3"/>
  <c r="H266" i="3"/>
  <c r="D267" i="3"/>
  <c r="F267" i="3"/>
  <c r="G267" i="3"/>
  <c r="H267" i="3"/>
  <c r="D268" i="3"/>
  <c r="F268" i="3"/>
  <c r="G268" i="3"/>
  <c r="H268" i="3"/>
  <c r="D269" i="3"/>
  <c r="F269" i="3"/>
  <c r="G269" i="3"/>
  <c r="H269" i="3"/>
  <c r="D270" i="3"/>
  <c r="F270" i="3"/>
  <c r="G270" i="3"/>
  <c r="H270" i="3"/>
  <c r="D271" i="3"/>
  <c r="F271" i="3"/>
  <c r="G271" i="3"/>
  <c r="H271" i="3"/>
  <c r="D272" i="3"/>
  <c r="F272" i="3"/>
  <c r="G272" i="3"/>
  <c r="H272" i="3"/>
  <c r="D273" i="3"/>
  <c r="F273" i="3"/>
  <c r="G273" i="3"/>
  <c r="H273" i="3"/>
  <c r="D274" i="3"/>
  <c r="F274" i="3"/>
  <c r="G274" i="3"/>
  <c r="H274" i="3"/>
  <c r="D275" i="3"/>
  <c r="F275" i="3"/>
  <c r="G275" i="3"/>
  <c r="H275" i="3"/>
  <c r="D276" i="3"/>
  <c r="F276" i="3"/>
  <c r="G276" i="3"/>
  <c r="H276" i="3"/>
  <c r="D277" i="3"/>
  <c r="F277" i="3"/>
  <c r="G277" i="3"/>
  <c r="H277" i="3"/>
  <c r="D278" i="3"/>
  <c r="F278" i="3"/>
  <c r="G278" i="3"/>
  <c r="H278" i="3"/>
  <c r="D279" i="3"/>
  <c r="F279" i="3"/>
  <c r="G279" i="3"/>
  <c r="H279" i="3"/>
  <c r="D280" i="3"/>
  <c r="F280" i="3"/>
  <c r="G280" i="3"/>
  <c r="H280" i="3"/>
  <c r="D281" i="3"/>
  <c r="F281" i="3"/>
  <c r="G281" i="3"/>
  <c r="H281" i="3"/>
  <c r="D282" i="3"/>
  <c r="F282" i="3"/>
  <c r="G282" i="3"/>
  <c r="H282" i="3"/>
  <c r="D283" i="3"/>
  <c r="F283" i="3"/>
  <c r="G283" i="3"/>
  <c r="H283" i="3"/>
  <c r="D284" i="3"/>
  <c r="F284" i="3"/>
  <c r="G284" i="3"/>
  <c r="H284" i="3"/>
  <c r="D285" i="3"/>
  <c r="F285" i="3"/>
  <c r="G285" i="3"/>
  <c r="H285" i="3"/>
  <c r="D286" i="3"/>
  <c r="F286" i="3"/>
  <c r="G286" i="3"/>
  <c r="H286" i="3"/>
  <c r="D287" i="3"/>
  <c r="F287" i="3"/>
  <c r="G287" i="3"/>
  <c r="H287" i="3"/>
  <c r="D288" i="3"/>
  <c r="F288" i="3"/>
  <c r="G288" i="3"/>
  <c r="H288" i="3"/>
  <c r="D289" i="3"/>
  <c r="F289" i="3"/>
  <c r="G289" i="3"/>
  <c r="H289" i="3"/>
  <c r="D290" i="3"/>
  <c r="F290" i="3"/>
  <c r="G290" i="3"/>
  <c r="H290" i="3"/>
  <c r="D291" i="3"/>
  <c r="F291" i="3"/>
  <c r="G291" i="3"/>
  <c r="H291" i="3"/>
  <c r="D292" i="3"/>
  <c r="F292" i="3"/>
  <c r="G292" i="3"/>
  <c r="H292" i="3"/>
  <c r="D293" i="3"/>
  <c r="F293" i="3"/>
  <c r="G293" i="3"/>
  <c r="H293" i="3"/>
  <c r="D294" i="3"/>
  <c r="F294" i="3"/>
  <c r="G294" i="3"/>
  <c r="H294" i="3"/>
  <c r="D295" i="3"/>
  <c r="F295" i="3"/>
  <c r="G295" i="3"/>
  <c r="H295" i="3"/>
  <c r="D296" i="3"/>
  <c r="F296" i="3"/>
  <c r="G296" i="3"/>
  <c r="H296" i="3"/>
  <c r="D297" i="3"/>
  <c r="F297" i="3"/>
  <c r="G297" i="3"/>
  <c r="H297" i="3"/>
  <c r="D298" i="3"/>
  <c r="F298" i="3"/>
  <c r="G298" i="3"/>
  <c r="H298" i="3"/>
  <c r="D299" i="3"/>
  <c r="F299" i="3"/>
  <c r="G299" i="3"/>
  <c r="H299" i="3"/>
  <c r="D300" i="3"/>
  <c r="F300" i="3"/>
  <c r="G300" i="3"/>
  <c r="H300" i="3"/>
  <c r="D301" i="3"/>
  <c r="F301" i="3"/>
  <c r="G301" i="3"/>
  <c r="H301" i="3"/>
  <c r="D302" i="3"/>
  <c r="F302" i="3"/>
  <c r="G302" i="3"/>
  <c r="H302" i="3"/>
  <c r="D303" i="3"/>
  <c r="F303" i="3"/>
  <c r="G303" i="3"/>
  <c r="H303" i="3"/>
  <c r="D304" i="3"/>
  <c r="F304" i="3"/>
  <c r="G304" i="3"/>
  <c r="H304" i="3"/>
  <c r="D305" i="3"/>
  <c r="F305" i="3"/>
  <c r="G305" i="3"/>
  <c r="H305" i="3"/>
  <c r="D306" i="3"/>
  <c r="F306" i="3"/>
  <c r="G306" i="3"/>
  <c r="H306" i="3"/>
  <c r="D307" i="3"/>
  <c r="F307" i="3"/>
  <c r="G307" i="3"/>
  <c r="H307" i="3"/>
  <c r="D308" i="3"/>
  <c r="F308" i="3"/>
  <c r="G308" i="3"/>
  <c r="H308" i="3"/>
  <c r="D309" i="3"/>
  <c r="F309" i="3"/>
  <c r="G309" i="3"/>
  <c r="H309" i="3"/>
  <c r="D310" i="3"/>
  <c r="F310" i="3"/>
  <c r="G310" i="3"/>
  <c r="H310" i="3"/>
  <c r="D311" i="3"/>
  <c r="F311" i="3"/>
  <c r="G311" i="3"/>
  <c r="H311" i="3"/>
  <c r="D312" i="3"/>
  <c r="F312" i="3"/>
  <c r="G312" i="3"/>
  <c r="H312" i="3"/>
  <c r="D313" i="3"/>
  <c r="F313" i="3"/>
  <c r="G313" i="3"/>
  <c r="H313" i="3"/>
  <c r="D314" i="3"/>
  <c r="F314" i="3"/>
  <c r="G314" i="3"/>
  <c r="H314" i="3"/>
  <c r="D315" i="3"/>
  <c r="F315" i="3"/>
  <c r="G315" i="3"/>
  <c r="H315" i="3"/>
  <c r="D316" i="3"/>
  <c r="F316" i="3"/>
  <c r="G316" i="3"/>
  <c r="H316" i="3"/>
  <c r="D317" i="3"/>
  <c r="F317" i="3"/>
  <c r="G317" i="3"/>
  <c r="H317" i="3"/>
  <c r="D318" i="3"/>
  <c r="F318" i="3"/>
  <c r="G318" i="3"/>
  <c r="H318" i="3"/>
  <c r="D319" i="3"/>
  <c r="F319" i="3"/>
  <c r="G319" i="3"/>
  <c r="H319" i="3"/>
  <c r="D320" i="3"/>
  <c r="F320" i="3"/>
  <c r="G320" i="3"/>
  <c r="H320" i="3"/>
  <c r="D321" i="3"/>
  <c r="F321" i="3"/>
  <c r="G321" i="3"/>
  <c r="H321" i="3"/>
  <c r="D322" i="3"/>
  <c r="F322" i="3"/>
  <c r="G322" i="3"/>
  <c r="H322" i="3"/>
  <c r="D323" i="3"/>
  <c r="F323" i="3"/>
  <c r="G323" i="3"/>
  <c r="H323" i="3"/>
  <c r="D324" i="3"/>
  <c r="F324" i="3"/>
  <c r="G324" i="3"/>
  <c r="H324" i="3"/>
  <c r="D325" i="3"/>
  <c r="F325" i="3"/>
  <c r="G325" i="3"/>
  <c r="H325" i="3"/>
  <c r="D326" i="3"/>
  <c r="F326" i="3"/>
  <c r="G326" i="3"/>
  <c r="H326" i="3"/>
  <c r="D327" i="3"/>
  <c r="F327" i="3"/>
  <c r="G327" i="3"/>
  <c r="H327" i="3"/>
  <c r="D328" i="3"/>
  <c r="F328" i="3"/>
  <c r="G328" i="3"/>
  <c r="H328" i="3"/>
  <c r="D329" i="3"/>
  <c r="F329" i="3"/>
  <c r="G329" i="3"/>
  <c r="H329" i="3"/>
  <c r="D330" i="3"/>
  <c r="F330" i="3"/>
  <c r="G330" i="3"/>
  <c r="H330" i="3"/>
  <c r="D331" i="3"/>
  <c r="F331" i="3"/>
  <c r="G331" i="3"/>
  <c r="H331" i="3"/>
  <c r="D332" i="3"/>
  <c r="F332" i="3"/>
  <c r="G332" i="3"/>
  <c r="H332" i="3"/>
  <c r="D333" i="3"/>
  <c r="F333" i="3"/>
  <c r="G333" i="3"/>
  <c r="H333" i="3"/>
  <c r="D334" i="3"/>
  <c r="F334" i="3"/>
  <c r="G334" i="3"/>
  <c r="H334" i="3"/>
  <c r="D335" i="3"/>
  <c r="F335" i="3"/>
  <c r="G335" i="3"/>
  <c r="H335" i="3"/>
  <c r="D336" i="3"/>
  <c r="F336" i="3"/>
  <c r="G336" i="3"/>
  <c r="H336" i="3"/>
  <c r="D337" i="3"/>
  <c r="F337" i="3"/>
  <c r="G337" i="3"/>
  <c r="H337" i="3"/>
  <c r="D338" i="3"/>
  <c r="F338" i="3"/>
  <c r="G338" i="3"/>
  <c r="H338" i="3"/>
  <c r="D339" i="3"/>
  <c r="F339" i="3"/>
  <c r="G339" i="3"/>
  <c r="H339" i="3"/>
  <c r="D340" i="3"/>
  <c r="F340" i="3"/>
  <c r="G340" i="3"/>
  <c r="H340" i="3"/>
  <c r="D341" i="3"/>
  <c r="F341" i="3"/>
  <c r="G341" i="3"/>
  <c r="H341" i="3"/>
  <c r="D342" i="3"/>
  <c r="F342" i="3"/>
  <c r="G342" i="3"/>
  <c r="H342" i="3"/>
  <c r="D343" i="3"/>
  <c r="F343" i="3"/>
  <c r="G343" i="3"/>
  <c r="H343" i="3"/>
  <c r="D344" i="3"/>
  <c r="F344" i="3"/>
  <c r="G344" i="3"/>
  <c r="H344" i="3"/>
  <c r="D345" i="3"/>
  <c r="F345" i="3"/>
  <c r="G345" i="3"/>
  <c r="H345" i="3"/>
  <c r="D346" i="3"/>
  <c r="F346" i="3"/>
  <c r="G346" i="3"/>
  <c r="H346" i="3"/>
  <c r="D347" i="3"/>
  <c r="F347" i="3"/>
  <c r="G347" i="3"/>
  <c r="H347" i="3"/>
  <c r="D348" i="3"/>
  <c r="F348" i="3"/>
  <c r="G348" i="3"/>
  <c r="H348" i="3"/>
  <c r="D349" i="3"/>
  <c r="F349" i="3"/>
  <c r="G349" i="3"/>
  <c r="H349" i="3"/>
  <c r="D350" i="3"/>
  <c r="F350" i="3"/>
  <c r="G350" i="3"/>
  <c r="H350" i="3"/>
  <c r="D351" i="3"/>
  <c r="F351" i="3"/>
  <c r="G351" i="3"/>
  <c r="H351" i="3"/>
  <c r="D352" i="3"/>
  <c r="F352" i="3"/>
  <c r="G352" i="3"/>
  <c r="H352" i="3"/>
  <c r="D353" i="3"/>
  <c r="F353" i="3"/>
  <c r="G353" i="3"/>
  <c r="H353" i="3"/>
  <c r="D354" i="3"/>
  <c r="F354" i="3"/>
  <c r="G354" i="3"/>
  <c r="H354" i="3"/>
  <c r="D355" i="3"/>
  <c r="F355" i="3"/>
  <c r="G355" i="3"/>
  <c r="H355" i="3"/>
  <c r="D356" i="3"/>
  <c r="F356" i="3"/>
  <c r="G356" i="3"/>
  <c r="H356" i="3"/>
  <c r="D357" i="3"/>
  <c r="F357" i="3"/>
  <c r="G357" i="3"/>
  <c r="H357" i="3"/>
  <c r="D358" i="3"/>
  <c r="F358" i="3"/>
  <c r="G358" i="3"/>
  <c r="H358" i="3"/>
  <c r="D359" i="3"/>
  <c r="F359" i="3"/>
  <c r="G359" i="3"/>
  <c r="H359" i="3"/>
  <c r="D360" i="3"/>
  <c r="F360" i="3"/>
  <c r="G360" i="3"/>
  <c r="H360" i="3"/>
  <c r="D361" i="3"/>
  <c r="F361" i="3"/>
  <c r="G361" i="3"/>
  <c r="H361" i="3"/>
  <c r="D362" i="3"/>
  <c r="F362" i="3"/>
  <c r="G362" i="3"/>
  <c r="H362" i="3"/>
  <c r="D363" i="3"/>
  <c r="F363" i="3"/>
  <c r="G363" i="3"/>
  <c r="H363" i="3"/>
  <c r="D364" i="3"/>
  <c r="F364" i="3"/>
  <c r="G364" i="3"/>
  <c r="H364" i="3"/>
  <c r="D365" i="3"/>
  <c r="F365" i="3"/>
  <c r="G365" i="3"/>
  <c r="H365" i="3"/>
  <c r="D366" i="3"/>
  <c r="F366" i="3"/>
  <c r="G366" i="3"/>
  <c r="H366" i="3"/>
  <c r="D367" i="3"/>
  <c r="F367" i="3"/>
  <c r="G367" i="3"/>
  <c r="H367" i="3"/>
  <c r="D368" i="3"/>
  <c r="F368" i="3"/>
  <c r="G368" i="3"/>
  <c r="H368" i="3"/>
  <c r="D369" i="3"/>
  <c r="F369" i="3"/>
  <c r="G369" i="3"/>
  <c r="H369" i="3"/>
  <c r="D370" i="3"/>
  <c r="F370" i="3"/>
  <c r="G370" i="3"/>
  <c r="H370" i="3"/>
  <c r="D371" i="3"/>
  <c r="F371" i="3"/>
  <c r="G371" i="3"/>
  <c r="H371" i="3"/>
  <c r="D372" i="3"/>
  <c r="F372" i="3"/>
  <c r="G372" i="3"/>
  <c r="H372" i="3"/>
  <c r="D373" i="3"/>
  <c r="F373" i="3"/>
  <c r="G373" i="3"/>
  <c r="H373" i="3"/>
  <c r="D374" i="3"/>
  <c r="F374" i="3"/>
  <c r="G374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I32" i="1"/>
  <c r="J32" i="1"/>
  <c r="J16" i="3"/>
  <c r="J2" i="1"/>
  <c r="K32" i="1"/>
  <c r="J17" i="3"/>
  <c r="K2" i="1"/>
  <c r="L32" i="1"/>
  <c r="J18" i="3"/>
  <c r="L2" i="1"/>
  <c r="M32" i="1"/>
  <c r="J19" i="3"/>
  <c r="M2" i="1"/>
  <c r="N32" i="1"/>
  <c r="J20" i="3"/>
  <c r="N2" i="1"/>
  <c r="O32" i="1"/>
  <c r="J21" i="3"/>
  <c r="O2" i="1"/>
  <c r="P32" i="1"/>
  <c r="J22" i="3"/>
  <c r="P2" i="1"/>
  <c r="Q32" i="1"/>
  <c r="J23" i="3"/>
  <c r="Q2" i="1"/>
  <c r="R32" i="1"/>
  <c r="J24" i="3"/>
  <c r="R2" i="1"/>
  <c r="P24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H374" i="3"/>
  <c r="R47" i="1"/>
  <c r="Q47" i="1"/>
  <c r="P47" i="1"/>
  <c r="O47" i="1"/>
  <c r="N47" i="1"/>
  <c r="M47" i="1"/>
  <c r="L47" i="1"/>
  <c r="K47" i="1"/>
  <c r="J47" i="1"/>
  <c r="I47" i="1"/>
  <c r="P23" i="3"/>
  <c r="N23" i="3"/>
  <c r="Q51" i="1"/>
  <c r="P22" i="3"/>
  <c r="N22" i="3"/>
  <c r="P51" i="1"/>
  <c r="P21" i="3"/>
  <c r="N21" i="3"/>
  <c r="O51" i="1"/>
  <c r="P20" i="3"/>
  <c r="N20" i="3"/>
  <c r="N51" i="1"/>
  <c r="P19" i="3"/>
  <c r="N19" i="3"/>
  <c r="M51" i="1"/>
  <c r="P18" i="3"/>
  <c r="N18" i="3"/>
  <c r="L51" i="1"/>
  <c r="P17" i="3"/>
  <c r="N17" i="3"/>
  <c r="K51" i="1"/>
  <c r="P16" i="3"/>
  <c r="N16" i="3"/>
  <c r="J51" i="1"/>
  <c r="M24" i="3"/>
  <c r="R50" i="1"/>
  <c r="M23" i="3"/>
  <c r="Q50" i="1"/>
  <c r="M22" i="3"/>
  <c r="P50" i="1"/>
  <c r="M21" i="3"/>
  <c r="O50" i="1"/>
  <c r="M20" i="3"/>
  <c r="N50" i="1"/>
  <c r="M19" i="3"/>
  <c r="M50" i="1"/>
  <c r="M18" i="3"/>
  <c r="L50" i="1"/>
  <c r="M17" i="3"/>
  <c r="K50" i="1"/>
  <c r="M16" i="3"/>
  <c r="J50" i="1"/>
  <c r="L24" i="3"/>
  <c r="R49" i="1"/>
  <c r="L23" i="3"/>
  <c r="Q49" i="1"/>
  <c r="L22" i="3"/>
  <c r="P49" i="1"/>
  <c r="L21" i="3"/>
  <c r="O49" i="1"/>
  <c r="L20" i="3"/>
  <c r="N49" i="1"/>
  <c r="L19" i="3"/>
  <c r="M49" i="1"/>
  <c r="L18" i="3"/>
  <c r="L49" i="1"/>
  <c r="L17" i="3"/>
  <c r="K49" i="1"/>
  <c r="L16" i="3"/>
  <c r="J49" i="1"/>
  <c r="P15" i="3"/>
  <c r="N15" i="3"/>
  <c r="I51" i="1"/>
  <c r="M15" i="3"/>
  <c r="I50" i="1"/>
  <c r="L15" i="3"/>
  <c r="I49" i="1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P44" i="3"/>
  <c r="N44" i="3"/>
  <c r="P43" i="3"/>
  <c r="N43" i="3"/>
  <c r="P42" i="3"/>
  <c r="N42" i="3"/>
  <c r="P41" i="3"/>
  <c r="N41" i="3"/>
  <c r="P40" i="3"/>
  <c r="N40" i="3"/>
  <c r="P39" i="3"/>
  <c r="N39" i="3"/>
  <c r="P38" i="3"/>
  <c r="N38" i="3"/>
  <c r="P37" i="3"/>
  <c r="N37" i="3"/>
  <c r="P36" i="3"/>
  <c r="N36" i="3"/>
  <c r="P35" i="3"/>
  <c r="N35" i="3"/>
  <c r="P34" i="3"/>
  <c r="N34" i="3"/>
  <c r="P33" i="3"/>
  <c r="N33" i="3"/>
  <c r="P32" i="3"/>
  <c r="N32" i="3"/>
  <c r="P31" i="3"/>
  <c r="N31" i="3"/>
  <c r="P30" i="3"/>
  <c r="N30" i="3"/>
  <c r="P29" i="3"/>
  <c r="N29" i="3"/>
  <c r="P28" i="3"/>
  <c r="N28" i="3"/>
  <c r="P27" i="3"/>
  <c r="N27" i="3"/>
  <c r="P26" i="3"/>
  <c r="N26" i="3"/>
  <c r="P25" i="3"/>
  <c r="N2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D8" i="3"/>
  <c r="D6" i="3"/>
  <c r="S2" i="1"/>
</calcChain>
</file>

<file path=xl/sharedStrings.xml><?xml version="1.0" encoding="utf-8"?>
<sst xmlns="http://schemas.openxmlformats.org/spreadsheetml/2006/main" count="127" uniqueCount="105">
  <si>
    <t>Rental Revenue:</t>
  </si>
  <si>
    <t xml:space="preserve">  Potential Base Rent</t>
  </si>
  <si>
    <t xml:space="preserve">  Absorp. &amp; Turnover Vacancy</t>
  </si>
  <si>
    <t>Other Tenant Revenue:</t>
  </si>
  <si>
    <t xml:space="preserve">  Total Expense Recoveries</t>
  </si>
  <si>
    <t>Potential Gross Revenue</t>
  </si>
  <si>
    <t>Vacancy &amp; Credit Loss:</t>
  </si>
  <si>
    <t xml:space="preserve">  Vacancy Allowance</t>
  </si>
  <si>
    <t>Effective Gross Revenue</t>
  </si>
  <si>
    <t>Operating Expenses:</t>
  </si>
  <si>
    <t xml:space="preserve">  Property taxes</t>
  </si>
  <si>
    <t xml:space="preserve">  Utilities</t>
  </si>
  <si>
    <t xml:space="preserve">  Cleaning</t>
  </si>
  <si>
    <t xml:space="preserve">  Repairs and Maintenance</t>
  </si>
  <si>
    <t>Total Operating Expenses</t>
  </si>
  <si>
    <t>Net Operating Income</t>
  </si>
  <si>
    <t>Leasing Costs:</t>
  </si>
  <si>
    <t xml:space="preserve">  Tenant Improvements</t>
  </si>
  <si>
    <t xml:space="preserve">  Leasing Commissions</t>
  </si>
  <si>
    <t xml:space="preserve">  Total Leasing Costs</t>
  </si>
  <si>
    <t>Capital Expenditures:</t>
  </si>
  <si>
    <t xml:space="preserve">  Capital Reserve</t>
  </si>
  <si>
    <t>Total Leasing &amp; Capital Costs</t>
  </si>
  <si>
    <t xml:space="preserve"> -   </t>
  </si>
  <si>
    <t>Net Operating Income (Y11)</t>
  </si>
  <si>
    <t>Occupancy Gross-up Adj.</t>
  </si>
  <si>
    <t>NOI To Capitalize</t>
  </si>
  <si>
    <t>Exit Cap Rate</t>
  </si>
  <si>
    <t>Adjusted Gross Sale Price</t>
  </si>
  <si>
    <t>Selling Costs (1% of price)</t>
  </si>
  <si>
    <t>Net Sales Proceeds</t>
  </si>
  <si>
    <t>of EGR</t>
  </si>
  <si>
    <t>growth</t>
  </si>
  <si>
    <t>/sf</t>
  </si>
  <si>
    <t>Reversion</t>
  </si>
  <si>
    <t>Scheduled Base Rent</t>
  </si>
  <si>
    <t>Purchase Price</t>
  </si>
  <si>
    <t>Unlevered IRR</t>
  </si>
  <si>
    <t>Total Cash Flow</t>
  </si>
  <si>
    <t>CF Before Debt Service</t>
  </si>
  <si>
    <t>Loan Amount</t>
  </si>
  <si>
    <t>Rate (Annual)</t>
  </si>
  <si>
    <t>Term of Loan (Years)</t>
  </si>
  <si>
    <t>Amortization (Years)</t>
  </si>
  <si>
    <t>Monthly Payment</t>
  </si>
  <si>
    <t>Annual Payment</t>
  </si>
  <si>
    <t>Beginning Balance</t>
  </si>
  <si>
    <t>Interest Payment</t>
  </si>
  <si>
    <t>Principal Payment</t>
  </si>
  <si>
    <t>Ending Balance</t>
  </si>
  <si>
    <t>Interest Rate</t>
  </si>
  <si>
    <t>Amortization</t>
  </si>
  <si>
    <t>Debt Yield</t>
  </si>
  <si>
    <t>Debt Service Coverage Ratio</t>
  </si>
  <si>
    <t>Loan Information</t>
  </si>
  <si>
    <t>Levered IRR</t>
  </si>
  <si>
    <t>Reversion Proceeds</t>
  </si>
  <si>
    <t>Loan Payment</t>
  </si>
  <si>
    <t>Lender CF</t>
  </si>
  <si>
    <t>LTV</t>
  </si>
  <si>
    <t>years</t>
  </si>
  <si>
    <t>Tax Assessment %</t>
  </si>
  <si>
    <t>Tax Rate</t>
  </si>
  <si>
    <t>Tax Inflation</t>
  </si>
  <si>
    <t>Property Mgmt Fee</t>
  </si>
  <si>
    <t>Other Expenses</t>
  </si>
  <si>
    <t>Other Expense Inflation</t>
  </si>
  <si>
    <t>CapEx Reserve Inflation</t>
  </si>
  <si>
    <t>CapEx Reserve</t>
  </si>
  <si>
    <t>Loan Assumptions:</t>
  </si>
  <si>
    <t>Valuation Assumptions:</t>
  </si>
  <si>
    <t>Reversion Assumptions:</t>
  </si>
  <si>
    <t>Year</t>
  </si>
  <si>
    <t>Loan Funding</t>
  </si>
  <si>
    <t>Loan Repayment</t>
  </si>
  <si>
    <t>Debt Service</t>
  </si>
  <si>
    <t>Month</t>
  </si>
  <si>
    <t>BOP Balance</t>
  </si>
  <si>
    <t>EOP Balance</t>
  </si>
  <si>
    <t>Total Payment</t>
  </si>
  <si>
    <t>Annual Amounts</t>
  </si>
  <si>
    <t>Monthly Amortization Schedule</t>
  </si>
  <si>
    <t>Lender IRR</t>
  </si>
  <si>
    <t>Purchase</t>
  </si>
  <si>
    <t>CF from Operations</t>
  </si>
  <si>
    <t>Unlevered Cash Flow:</t>
  </si>
  <si>
    <t>Loan Amortization:</t>
  </si>
  <si>
    <t>Levered Cash Flow:</t>
  </si>
  <si>
    <t>Lender CF:</t>
  </si>
  <si>
    <t>INPUTS</t>
  </si>
  <si>
    <t>Cap Rate</t>
  </si>
  <si>
    <t>Cash on Cash Return</t>
  </si>
  <si>
    <t>Equity Multiple</t>
  </si>
  <si>
    <t>Summary of Returns:</t>
  </si>
  <si>
    <t>Hold Period Returns:</t>
  </si>
  <si>
    <t>Annual Returns:</t>
  </si>
  <si>
    <t>Loan Metrics:</t>
  </si>
  <si>
    <t>Pro Forma:</t>
  </si>
  <si>
    <t xml:space="preserve">  Short Term Expenses</t>
  </si>
  <si>
    <t xml:space="preserve">  Property Management</t>
  </si>
  <si>
    <t xml:space="preserve">  Other Expenses</t>
  </si>
  <si>
    <t>COMPLETE THESE COLUMNS</t>
  </si>
  <si>
    <t>Fill in missing formula or reference (no hardcoding)</t>
  </si>
  <si>
    <t>[COMPLETE LOAN AMORTIZATION TAB]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</si>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</sst>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%"/>
    <numFmt numFmtId="167" formatCode="_(#,##0_);\(#,##0\);_(&quot;–&quot;_);_(@_)"/>
    <numFmt numFmtId="168" formatCode="_(#,##0.00_);\(#,##0.00\);_(&quot;–&quot;_);_(@_)"/>
    <numFmt numFmtId="169" formatCode="0.00\x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8000"/>
      <name val="Arial"/>
      <family val="2"/>
    </font>
    <font>
      <u/>
      <sz val="10"/>
      <color rgb="FF000000"/>
      <name val="Arial"/>
      <family val="2"/>
    </font>
    <font>
      <sz val="12"/>
      <color rgb="FF0000FF"/>
      <name val="Arial"/>
      <family val="2"/>
    </font>
    <font>
      <u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6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12" fillId="0" borderId="0" xfId="3" applyFont="1"/>
    <xf numFmtId="0" fontId="12" fillId="2" borderId="8" xfId="3" applyFont="1" applyFill="1" applyBorder="1"/>
    <xf numFmtId="0" fontId="12" fillId="2" borderId="10" xfId="3" applyFont="1" applyFill="1" applyBorder="1"/>
    <xf numFmtId="0" fontId="12" fillId="2" borderId="7" xfId="3" applyFont="1" applyFill="1" applyBorder="1"/>
    <xf numFmtId="0" fontId="12" fillId="4" borderId="12" xfId="3" applyFont="1" applyFill="1" applyBorder="1" applyAlignment="1">
      <alignment horizontal="center"/>
    </xf>
    <xf numFmtId="168" fontId="12" fillId="4" borderId="13" xfId="3" applyNumberFormat="1" applyFont="1" applyFill="1" applyBorder="1"/>
    <xf numFmtId="0" fontId="12" fillId="2" borderId="12" xfId="3" applyFont="1" applyFill="1" applyBorder="1" applyAlignment="1">
      <alignment horizontal="center"/>
    </xf>
    <xf numFmtId="168" fontId="12" fillId="2" borderId="13" xfId="3" applyNumberFormat="1" applyFont="1" applyFill="1" applyBorder="1"/>
    <xf numFmtId="0" fontId="12" fillId="2" borderId="3" xfId="3" applyFont="1" applyFill="1" applyBorder="1" applyAlignment="1">
      <alignment horizontal="center"/>
    </xf>
    <xf numFmtId="167" fontId="12" fillId="2" borderId="2" xfId="3" applyNumberFormat="1" applyFont="1" applyFill="1" applyBorder="1"/>
    <xf numFmtId="168" fontId="12" fillId="2" borderId="2" xfId="3" applyNumberFormat="1" applyFont="1" applyFill="1" applyBorder="1"/>
    <xf numFmtId="168" fontId="12" fillId="2" borderId="4" xfId="3" applyNumberFormat="1" applyFont="1" applyFill="1" applyBorder="1"/>
    <xf numFmtId="164" fontId="3" fillId="2" borderId="0" xfId="1" applyNumberFormat="1" applyFont="1" applyFill="1" applyAlignment="1">
      <alignment horizontal="right" vertical="center" wrapText="1"/>
    </xf>
    <xf numFmtId="0" fontId="18" fillId="2" borderId="0" xfId="0" applyFont="1" applyFill="1"/>
    <xf numFmtId="164" fontId="7" fillId="2" borderId="0" xfId="1" applyNumberFormat="1" applyFont="1" applyFill="1"/>
    <xf numFmtId="164" fontId="2" fillId="2" borderId="0" xfId="1" applyNumberFormat="1" applyFont="1" applyFill="1"/>
    <xf numFmtId="0" fontId="6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64" fontId="3" fillId="2" borderId="0" xfId="1" applyNumberFormat="1" applyFont="1" applyFill="1" applyAlignment="1">
      <alignment vertical="center"/>
    </xf>
    <xf numFmtId="9" fontId="7" fillId="2" borderId="0" xfId="2" applyFont="1" applyFill="1"/>
    <xf numFmtId="166" fontId="7" fillId="2" borderId="0" xfId="2" applyNumberFormat="1" applyFont="1" applyFill="1"/>
    <xf numFmtId="165" fontId="7" fillId="2" borderId="0" xfId="2" applyNumberFormat="1" applyFont="1" applyFill="1"/>
    <xf numFmtId="0" fontId="2" fillId="2" borderId="0" xfId="0" quotePrefix="1" applyFont="1" applyFill="1"/>
    <xf numFmtId="164" fontId="2" fillId="2" borderId="0" xfId="1" applyNumberFormat="1" applyFont="1" applyFill="1" applyBorder="1"/>
    <xf numFmtId="165" fontId="10" fillId="2" borderId="0" xfId="2" applyNumberFormat="1" applyFont="1" applyFill="1" applyBorder="1"/>
    <xf numFmtId="164" fontId="3" fillId="2" borderId="0" xfId="1" applyNumberFormat="1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10" fontId="7" fillId="2" borderId="0" xfId="2" applyNumberFormat="1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164" fontId="8" fillId="2" borderId="0" xfId="1" applyNumberFormat="1" applyFont="1" applyFill="1" applyBorder="1" applyAlignment="1">
      <alignment horizontal="right" vertical="center" wrapText="1"/>
    </xf>
    <xf numFmtId="164" fontId="4" fillId="2" borderId="0" xfId="1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1" xfId="1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 wrapText="1"/>
    </xf>
    <xf numFmtId="9" fontId="2" fillId="2" borderId="0" xfId="2" applyFont="1" applyFill="1"/>
    <xf numFmtId="0" fontId="2" fillId="2" borderId="0" xfId="0" applyFont="1" applyFill="1" applyAlignment="1">
      <alignment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164" fontId="3" fillId="2" borderId="2" xfId="1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 indent="1"/>
    </xf>
    <xf numFmtId="164" fontId="3" fillId="2" borderId="14" xfId="1" applyNumberFormat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10" fontId="7" fillId="2" borderId="0" xfId="0" applyNumberFormat="1" applyFont="1" applyFill="1"/>
    <xf numFmtId="43" fontId="2" fillId="2" borderId="0" xfId="1" applyFont="1" applyFill="1"/>
    <xf numFmtId="43" fontId="7" fillId="2" borderId="0" xfId="1" applyFont="1" applyFill="1"/>
    <xf numFmtId="0" fontId="2" fillId="5" borderId="0" xfId="0" applyFont="1" applyFill="1"/>
    <xf numFmtId="0" fontId="2" fillId="5" borderId="0" xfId="0" quotePrefix="1" applyFont="1" applyFill="1"/>
    <xf numFmtId="10" fontId="8" fillId="2" borderId="0" xfId="0" applyNumberFormat="1" applyFont="1" applyFill="1" applyAlignment="1">
      <alignment horizontal="right" vertical="center" wrapText="1"/>
    </xf>
    <xf numFmtId="164" fontId="4" fillId="2" borderId="14" xfId="0" applyNumberFormat="1" applyFont="1" applyFill="1" applyBorder="1" applyAlignment="1">
      <alignment horizontal="right" vertical="center" wrapText="1"/>
    </xf>
    <xf numFmtId="164" fontId="12" fillId="2" borderId="2" xfId="1" applyNumberFormat="1" applyFont="1" applyFill="1" applyBorder="1"/>
    <xf numFmtId="0" fontId="12" fillId="2" borderId="2" xfId="1" applyNumberFormat="1" applyFont="1" applyFill="1" applyBorder="1" applyAlignment="1">
      <alignment horizontal="center"/>
    </xf>
    <xf numFmtId="0" fontId="15" fillId="0" borderId="0" xfId="3" applyFont="1"/>
    <xf numFmtId="0" fontId="12" fillId="2" borderId="0" xfId="3" applyFont="1" applyFill="1"/>
    <xf numFmtId="0" fontId="17" fillId="2" borderId="0" xfId="3" applyFont="1" applyFill="1"/>
    <xf numFmtId="0" fontId="12" fillId="2" borderId="0" xfId="1" applyNumberFormat="1" applyFont="1" applyFill="1" applyBorder="1" applyAlignment="1">
      <alignment horizontal="center"/>
    </xf>
    <xf numFmtId="167" fontId="12" fillId="2" borderId="0" xfId="3" applyNumberFormat="1" applyFont="1" applyFill="1"/>
    <xf numFmtId="168" fontId="12" fillId="2" borderId="0" xfId="3" applyNumberFormat="1" applyFont="1" applyFill="1"/>
    <xf numFmtId="167" fontId="12" fillId="4" borderId="0" xfId="3" applyNumberFormat="1" applyFont="1" applyFill="1"/>
    <xf numFmtId="0" fontId="13" fillId="3" borderId="5" xfId="3" applyFont="1" applyFill="1" applyBorder="1" applyAlignment="1">
      <alignment horizontal="center" vertical="center" wrapText="1"/>
    </xf>
    <xf numFmtId="0" fontId="13" fillId="3" borderId="15" xfId="3" applyFont="1" applyFill="1" applyBorder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13" fillId="2" borderId="16" xfId="3" applyFont="1" applyFill="1" applyBorder="1" applyAlignment="1">
      <alignment horizontal="centerContinuous"/>
    </xf>
    <xf numFmtId="0" fontId="12" fillId="2" borderId="17" xfId="3" applyFont="1" applyFill="1" applyBorder="1" applyAlignment="1">
      <alignment horizontal="centerContinuous"/>
    </xf>
    <xf numFmtId="0" fontId="12" fillId="2" borderId="18" xfId="3" applyFont="1" applyFill="1" applyBorder="1" applyAlignment="1">
      <alignment horizontal="centerContinuous"/>
    </xf>
    <xf numFmtId="43" fontId="12" fillId="2" borderId="9" xfId="1" applyFont="1" applyFill="1" applyBorder="1"/>
    <xf numFmtId="10" fontId="12" fillId="2" borderId="9" xfId="3" applyNumberFormat="1" applyFont="1" applyFill="1" applyBorder="1"/>
    <xf numFmtId="0" fontId="12" fillId="2" borderId="9" xfId="3" applyFont="1" applyFill="1" applyBorder="1"/>
    <xf numFmtId="43" fontId="12" fillId="2" borderId="9" xfId="3" applyNumberFormat="1" applyFont="1" applyFill="1" applyBorder="1"/>
    <xf numFmtId="43" fontId="12" fillId="2" borderId="11" xfId="3" applyNumberFormat="1" applyFont="1" applyFill="1" applyBorder="1"/>
    <xf numFmtId="164" fontId="12" fillId="2" borderId="0" xfId="1" applyNumberFormat="1" applyFont="1" applyFill="1" applyBorder="1"/>
    <xf numFmtId="0" fontId="12" fillId="2" borderId="12" xfId="1" applyNumberFormat="1" applyFont="1" applyFill="1" applyBorder="1" applyAlignment="1">
      <alignment horizontal="center"/>
    </xf>
    <xf numFmtId="164" fontId="12" fillId="2" borderId="13" xfId="1" applyNumberFormat="1" applyFont="1" applyFill="1" applyBorder="1"/>
    <xf numFmtId="0" fontId="12" fillId="2" borderId="3" xfId="1" applyNumberFormat="1" applyFont="1" applyFill="1" applyBorder="1" applyAlignment="1">
      <alignment horizontal="center"/>
    </xf>
    <xf numFmtId="164" fontId="12" fillId="2" borderId="4" xfId="1" applyNumberFormat="1" applyFont="1" applyFill="1" applyBorder="1"/>
    <xf numFmtId="167" fontId="12" fillId="4" borderId="12" xfId="3" applyNumberFormat="1" applyFont="1" applyFill="1" applyBorder="1"/>
    <xf numFmtId="167" fontId="12" fillId="4" borderId="13" xfId="3" applyNumberFormat="1" applyFont="1" applyFill="1" applyBorder="1"/>
    <xf numFmtId="0" fontId="13" fillId="0" borderId="0" xfId="3" applyFont="1"/>
    <xf numFmtId="0" fontId="13" fillId="2" borderId="0" xfId="3" applyFont="1" applyFill="1"/>
    <xf numFmtId="164" fontId="3" fillId="2" borderId="2" xfId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left" indent="1"/>
    </xf>
    <xf numFmtId="165" fontId="7" fillId="2" borderId="0" xfId="2" applyNumberFormat="1" applyFont="1" applyFill="1" applyAlignment="1">
      <alignment horizontal="left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1"/>
    </xf>
    <xf numFmtId="0" fontId="2" fillId="2" borderId="5" xfId="0" applyFont="1" applyFill="1" applyBorder="1" applyAlignment="1">
      <alignment horizontal="left" indent="1"/>
    </xf>
    <xf numFmtId="164" fontId="7" fillId="2" borderId="0" xfId="1" applyNumberFormat="1" applyFont="1" applyFill="1" applyAlignment="1">
      <alignment horizontal="right"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64" fontId="11" fillId="2" borderId="0" xfId="1" applyNumberFormat="1" applyFont="1" applyFill="1"/>
    <xf numFmtId="164" fontId="7" fillId="2" borderId="14" xfId="1" applyNumberFormat="1" applyFont="1" applyFill="1" applyBorder="1" applyAlignment="1">
      <alignment horizontal="right" vertical="center" wrapText="1"/>
    </xf>
    <xf numFmtId="164" fontId="2" fillId="7" borderId="0" xfId="1" applyNumberFormat="1" applyFont="1" applyFill="1"/>
    <xf numFmtId="164" fontId="3" fillId="7" borderId="0" xfId="1" applyNumberFormat="1" applyFont="1" applyFill="1" applyBorder="1" applyAlignment="1">
      <alignment horizontal="right" vertical="center" wrapText="1"/>
    </xf>
    <xf numFmtId="164" fontId="3" fillId="7" borderId="14" xfId="1" applyNumberFormat="1" applyFont="1" applyFill="1" applyBorder="1" applyAlignment="1">
      <alignment horizontal="right" vertical="center" wrapText="1"/>
    </xf>
    <xf numFmtId="164" fontId="3" fillId="7" borderId="14" xfId="1" applyNumberFormat="1" applyFont="1" applyFill="1" applyBorder="1" applyAlignment="1">
      <alignment vertical="center" wrapText="1"/>
    </xf>
    <xf numFmtId="164" fontId="2" fillId="7" borderId="14" xfId="1" applyNumberFormat="1" applyFont="1" applyFill="1" applyBorder="1"/>
    <xf numFmtId="10" fontId="2" fillId="7" borderId="6" xfId="0" applyNumberFormat="1" applyFont="1" applyFill="1" applyBorder="1"/>
    <xf numFmtId="168" fontId="12" fillId="7" borderId="0" xfId="3" applyNumberFormat="1" applyFont="1" applyFill="1"/>
    <xf numFmtId="164" fontId="3" fillId="7" borderId="0" xfId="0" applyNumberFormat="1" applyFont="1" applyFill="1" applyAlignment="1">
      <alignment vertical="center" wrapText="1"/>
    </xf>
    <xf numFmtId="164" fontId="3" fillId="7" borderId="0" xfId="1" applyNumberFormat="1" applyFont="1" applyFill="1" applyBorder="1" applyAlignment="1">
      <alignment vertical="center" wrapText="1"/>
    </xf>
    <xf numFmtId="164" fontId="3" fillId="7" borderId="2" xfId="1" applyNumberFormat="1" applyFont="1" applyFill="1" applyBorder="1" applyAlignment="1">
      <alignment vertical="center" wrapText="1"/>
    </xf>
    <xf numFmtId="164" fontId="2" fillId="7" borderId="0" xfId="0" applyNumberFormat="1" applyFont="1" applyFill="1"/>
    <xf numFmtId="10" fontId="2" fillId="7" borderId="0" xfId="2" applyNumberFormat="1" applyFont="1" applyFill="1" applyBorder="1" applyAlignment="1">
      <alignment horizontal="right" vertical="center" wrapText="1"/>
    </xf>
    <xf numFmtId="10" fontId="2" fillId="7" borderId="0" xfId="2" applyNumberFormat="1" applyFont="1" applyFill="1"/>
    <xf numFmtId="169" fontId="3" fillId="7" borderId="0" xfId="1" applyNumberFormat="1" applyFont="1" applyFill="1" applyBorder="1" applyAlignment="1">
      <alignment vertical="center" wrapText="1"/>
    </xf>
    <xf numFmtId="0" fontId="23" fillId="2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 wrapText="1"/>
    </xf>
    <xf numFmtId="0" fontId="12" fillId="7" borderId="2" xfId="3" applyFont="1" applyFill="1" applyBorder="1" applyAlignment="1">
      <alignment horizontal="center"/>
    </xf>
    <xf numFmtId="164" fontId="2" fillId="7" borderId="0" xfId="2" applyNumberFormat="1" applyFont="1" applyFill="1"/>
  </cellXfs>
  <cellStyles count="230">
    <cellStyle name="Comma" xfId="1" builtinId="3"/>
    <cellStyle name="Comma 2" xfId="5" xr:uid="{00000000-0005-0000-0000-000001000000}"/>
    <cellStyle name="Currency 2" xfId="4" xr:uid="{00000000-0005-0000-0000-000002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Normal" xfId="0" builtinId="0"/>
    <cellStyle name="Normal 10" xfId="3" xr:uid="{00000000-0005-0000-0000-0000E4000000}"/>
    <cellStyle name="Percent" xfId="2" builtinId="5"/>
  </cellStyles>
  <dxfs count="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89"/>
  <sheetViews>
    <sheetView tabSelected="1" topLeftCell="A19" workbookViewId="0">
      <selection activeCell="N36" sqref="N36"/>
    </sheetView>
  </sheetViews>
  <sheetFormatPr defaultColWidth="9.1796875" defaultRowHeight="12.5" outlineLevelCol="1" x14ac:dyDescent="0.25"/>
  <cols>
    <col min="1" max="1" width="2.81640625" style="1" customWidth="1"/>
    <col min="2" max="2" width="31.453125" style="1" customWidth="1" outlineLevel="1"/>
    <col min="3" max="3" width="15" style="1" bestFit="1" customWidth="1" outlineLevel="1"/>
    <col min="4" max="4" width="10.81640625" style="1" customWidth="1" outlineLevel="1"/>
    <col min="5" max="5" width="2.81640625" style="1" customWidth="1" outlineLevel="1"/>
    <col min="6" max="6" width="2.81640625" style="1" customWidth="1"/>
    <col min="7" max="7" width="30.6328125" style="1" customWidth="1"/>
    <col min="8" max="8" width="12.453125" style="1" customWidth="1"/>
    <col min="9" max="9" width="13" style="1" bestFit="1" customWidth="1"/>
    <col min="10" max="19" width="12.6328125" style="1" customWidth="1"/>
    <col min="20" max="20" width="11.81640625" style="1" customWidth="1"/>
    <col min="21" max="21" width="13.81640625" style="1" customWidth="1"/>
    <col min="22" max="22" width="14.81640625" style="1" bestFit="1" customWidth="1"/>
    <col min="23" max="16384" width="9.1796875" style="1"/>
  </cols>
  <sheetData>
    <row r="2" spans="2:19" ht="20" customHeight="1" x14ac:dyDescent="0.25">
      <c r="B2" s="112" t="s">
        <v>89</v>
      </c>
      <c r="C2" s="112"/>
      <c r="D2" s="112"/>
      <c r="G2" s="88" t="s">
        <v>72</v>
      </c>
      <c r="H2" s="87">
        <v>0</v>
      </c>
      <c r="I2" s="87">
        <v>1</v>
      </c>
      <c r="J2" s="87">
        <f>I2+1</f>
        <v>2</v>
      </c>
      <c r="K2" s="87">
        <f t="shared" ref="K2:S2" si="0">J2+1</f>
        <v>3</v>
      </c>
      <c r="L2" s="87">
        <f t="shared" si="0"/>
        <v>4</v>
      </c>
      <c r="M2" s="87">
        <f t="shared" si="0"/>
        <v>5</v>
      </c>
      <c r="N2" s="87">
        <f t="shared" si="0"/>
        <v>6</v>
      </c>
      <c r="O2" s="87">
        <f t="shared" si="0"/>
        <v>7</v>
      </c>
      <c r="P2" s="87">
        <f t="shared" si="0"/>
        <v>8</v>
      </c>
      <c r="Q2" s="87">
        <f t="shared" si="0"/>
        <v>9</v>
      </c>
      <c r="R2" s="87">
        <f t="shared" si="0"/>
        <v>10</v>
      </c>
      <c r="S2" s="87">
        <f t="shared" si="0"/>
        <v>11</v>
      </c>
    </row>
    <row r="4" spans="2:19" x14ac:dyDescent="0.25">
      <c r="G4" s="20"/>
      <c r="H4" s="20"/>
    </row>
    <row r="5" spans="2:19" ht="13" x14ac:dyDescent="0.3">
      <c r="B5" s="19" t="s">
        <v>70</v>
      </c>
      <c r="E5" s="51"/>
      <c r="G5" s="19" t="s">
        <v>97</v>
      </c>
    </row>
    <row r="6" spans="2:19" x14ac:dyDescent="0.25">
      <c r="B6" s="1" t="s">
        <v>36</v>
      </c>
      <c r="C6" s="17">
        <v>38900000</v>
      </c>
      <c r="E6" s="51"/>
    </row>
    <row r="7" spans="2:19" ht="13" x14ac:dyDescent="0.25">
      <c r="B7" s="1" t="s">
        <v>61</v>
      </c>
      <c r="C7" s="24">
        <v>0.6</v>
      </c>
      <c r="E7" s="51"/>
      <c r="G7" s="91" t="s">
        <v>0</v>
      </c>
      <c r="H7" s="4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2:19" x14ac:dyDescent="0.25">
      <c r="B8" s="1" t="s">
        <v>62</v>
      </c>
      <c r="C8" s="25">
        <v>1.2775E-2</v>
      </c>
      <c r="E8" s="51"/>
      <c r="G8" s="90" t="s">
        <v>1</v>
      </c>
      <c r="H8" s="41"/>
      <c r="I8" s="93">
        <f>208315*12</f>
        <v>2499780</v>
      </c>
      <c r="J8" s="93">
        <f>SUM(I8*1.03)</f>
        <v>2574773.4</v>
      </c>
      <c r="K8" s="93">
        <f t="shared" ref="K8:R8" si="1">SUM(J8*1.03)</f>
        <v>2652016.602</v>
      </c>
      <c r="L8" s="93">
        <f t="shared" si="1"/>
        <v>2731577.1000600001</v>
      </c>
      <c r="M8" s="93">
        <f t="shared" si="1"/>
        <v>2813524.4130617999</v>
      </c>
      <c r="N8" s="93">
        <f t="shared" si="1"/>
        <v>2897930.1454536542</v>
      </c>
      <c r="O8" s="93">
        <f t="shared" si="1"/>
        <v>2984868.0498172641</v>
      </c>
      <c r="P8" s="93">
        <f t="shared" si="1"/>
        <v>3074414.0913117821</v>
      </c>
      <c r="Q8" s="93">
        <f t="shared" si="1"/>
        <v>3166646.5140511356</v>
      </c>
      <c r="R8" s="93">
        <f t="shared" si="1"/>
        <v>3261645.9094726699</v>
      </c>
      <c r="S8" s="15"/>
    </row>
    <row r="9" spans="2:19" x14ac:dyDescent="0.25">
      <c r="B9" s="1" t="s">
        <v>63</v>
      </c>
      <c r="C9" s="26">
        <v>0.03</v>
      </c>
      <c r="E9" s="51"/>
      <c r="G9" s="90" t="s">
        <v>2</v>
      </c>
      <c r="H9" s="41"/>
      <c r="I9" s="94"/>
      <c r="J9" s="94"/>
      <c r="K9" s="94"/>
      <c r="L9" s="94"/>
      <c r="M9" s="94"/>
      <c r="N9" s="94"/>
      <c r="O9" s="94"/>
      <c r="P9" s="94"/>
      <c r="Q9" s="94"/>
      <c r="R9" s="94"/>
      <c r="S9" s="43"/>
    </row>
    <row r="10" spans="2:19" x14ac:dyDescent="0.25">
      <c r="B10" s="1" t="s">
        <v>64</v>
      </c>
      <c r="C10" s="26">
        <v>2.5000000000000001E-2</v>
      </c>
      <c r="D10" s="1" t="s">
        <v>31</v>
      </c>
      <c r="E10" s="51"/>
      <c r="G10" s="90" t="s">
        <v>35</v>
      </c>
      <c r="H10" s="41"/>
      <c r="I10" s="98">
        <f>SUM(I8:I9)</f>
        <v>2499780</v>
      </c>
      <c r="J10" s="98">
        <f t="shared" ref="J10:R10" si="2">SUM(J8:J9)</f>
        <v>2574773.4</v>
      </c>
      <c r="K10" s="98">
        <f t="shared" si="2"/>
        <v>2652016.602</v>
      </c>
      <c r="L10" s="98">
        <f t="shared" si="2"/>
        <v>2731577.1000600001</v>
      </c>
      <c r="M10" s="98">
        <f t="shared" si="2"/>
        <v>2813524.4130617999</v>
      </c>
      <c r="N10" s="98">
        <f t="shared" si="2"/>
        <v>2897930.1454536542</v>
      </c>
      <c r="O10" s="98">
        <f t="shared" si="2"/>
        <v>2984868.0498172641</v>
      </c>
      <c r="P10" s="98">
        <f t="shared" si="2"/>
        <v>3074414.0913117821</v>
      </c>
      <c r="Q10" s="98">
        <f t="shared" si="2"/>
        <v>3166646.5140511356</v>
      </c>
      <c r="R10" s="98">
        <f t="shared" si="2"/>
        <v>3261645.9094726699</v>
      </c>
      <c r="S10" s="42"/>
    </row>
    <row r="11" spans="2:19" ht="13" x14ac:dyDescent="0.25">
      <c r="B11" s="1" t="s">
        <v>65</v>
      </c>
      <c r="C11" s="17">
        <v>199548</v>
      </c>
      <c r="E11" s="51"/>
      <c r="G11" s="91" t="s">
        <v>3</v>
      </c>
      <c r="H11" s="4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spans="2:19" x14ac:dyDescent="0.25">
      <c r="B12" s="1" t="s">
        <v>66</v>
      </c>
      <c r="C12" s="26">
        <v>0.03</v>
      </c>
      <c r="D12" s="1" t="s">
        <v>32</v>
      </c>
      <c r="E12" s="51"/>
      <c r="G12" s="90" t="s">
        <v>4</v>
      </c>
      <c r="H12" s="41"/>
      <c r="I12" s="94">
        <f>20941*12</f>
        <v>251292</v>
      </c>
      <c r="J12" s="94">
        <f>SUM(I12*1.03)</f>
        <v>258830.76</v>
      </c>
      <c r="K12" s="94">
        <f t="shared" ref="K12:R12" si="3">SUM(J12*1.03)</f>
        <v>266595.68280000001</v>
      </c>
      <c r="L12" s="94">
        <f t="shared" si="3"/>
        <v>274593.55328400002</v>
      </c>
      <c r="M12" s="94">
        <f t="shared" si="3"/>
        <v>282831.35988252005</v>
      </c>
      <c r="N12" s="94">
        <f t="shared" si="3"/>
        <v>291316.30067899567</v>
      </c>
      <c r="O12" s="94">
        <f t="shared" si="3"/>
        <v>300055.78969936556</v>
      </c>
      <c r="P12" s="94">
        <f t="shared" si="3"/>
        <v>309057.46339034656</v>
      </c>
      <c r="Q12" s="94">
        <f t="shared" si="3"/>
        <v>318329.18729205697</v>
      </c>
      <c r="R12" s="94">
        <f t="shared" si="3"/>
        <v>327879.06291081867</v>
      </c>
      <c r="S12" s="43"/>
    </row>
    <row r="13" spans="2:19" x14ac:dyDescent="0.25">
      <c r="B13" s="1" t="s">
        <v>68</v>
      </c>
      <c r="C13" s="50">
        <v>0.2</v>
      </c>
      <c r="D13" s="27" t="s">
        <v>33</v>
      </c>
      <c r="E13" s="52"/>
      <c r="G13" s="91" t="s">
        <v>5</v>
      </c>
      <c r="H13" s="41"/>
      <c r="I13" s="98">
        <f>SUM(I10:I12)</f>
        <v>2751072</v>
      </c>
      <c r="J13" s="98">
        <f t="shared" ref="J13:R13" si="4">SUM(J10:J12)</f>
        <v>2833604.16</v>
      </c>
      <c r="K13" s="98">
        <f t="shared" si="4"/>
        <v>2918612.2848</v>
      </c>
      <c r="L13" s="98">
        <f t="shared" si="4"/>
        <v>3006170.6533440002</v>
      </c>
      <c r="M13" s="98">
        <f t="shared" si="4"/>
        <v>3096355.77294432</v>
      </c>
      <c r="N13" s="98">
        <f t="shared" si="4"/>
        <v>3189246.4461326497</v>
      </c>
      <c r="O13" s="98">
        <f t="shared" si="4"/>
        <v>3284923.8395166295</v>
      </c>
      <c r="P13" s="98">
        <f t="shared" si="4"/>
        <v>3383471.5547021287</v>
      </c>
      <c r="Q13" s="98">
        <f t="shared" si="4"/>
        <v>3484975.7013431927</v>
      </c>
      <c r="R13" s="98">
        <f t="shared" si="4"/>
        <v>3589524.9723834884</v>
      </c>
      <c r="S13" s="42"/>
    </row>
    <row r="14" spans="2:19" ht="13" x14ac:dyDescent="0.25">
      <c r="B14" s="1" t="s">
        <v>67</v>
      </c>
      <c r="C14" s="26">
        <v>0.03</v>
      </c>
      <c r="D14" s="1" t="s">
        <v>32</v>
      </c>
      <c r="E14" s="51"/>
      <c r="G14" s="91" t="s">
        <v>6</v>
      </c>
      <c r="H14" s="4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2:19" x14ac:dyDescent="0.25">
      <c r="E15" s="51"/>
      <c r="G15" s="90" t="s">
        <v>7</v>
      </c>
      <c r="H15" s="41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43"/>
    </row>
    <row r="16" spans="2:19" ht="13" x14ac:dyDescent="0.3">
      <c r="B16" s="19" t="s">
        <v>71</v>
      </c>
      <c r="E16" s="51"/>
      <c r="G16" s="91" t="s">
        <v>8</v>
      </c>
      <c r="H16" s="41"/>
      <c r="I16" s="98">
        <f>SUM(I13, I15)</f>
        <v>2751072</v>
      </c>
      <c r="J16" s="98">
        <f t="shared" ref="J16:R16" si="5">SUM(J13, J15)</f>
        <v>2833604.16</v>
      </c>
      <c r="K16" s="98">
        <f t="shared" si="5"/>
        <v>2918612.2848</v>
      </c>
      <c r="L16" s="98">
        <f t="shared" si="5"/>
        <v>3006170.6533440002</v>
      </c>
      <c r="M16" s="98">
        <f t="shared" si="5"/>
        <v>3096355.77294432</v>
      </c>
      <c r="N16" s="98">
        <f t="shared" si="5"/>
        <v>3189246.4461326497</v>
      </c>
      <c r="O16" s="98">
        <f t="shared" si="5"/>
        <v>3284923.8395166295</v>
      </c>
      <c r="P16" s="98">
        <f t="shared" si="5"/>
        <v>3383471.5547021287</v>
      </c>
      <c r="Q16" s="98">
        <f t="shared" si="5"/>
        <v>3484975.7013431927</v>
      </c>
      <c r="R16" s="98">
        <f t="shared" si="5"/>
        <v>3589524.9723834884</v>
      </c>
      <c r="S16" s="42"/>
    </row>
    <row r="17" spans="2:19" ht="14" x14ac:dyDescent="0.25">
      <c r="B17" s="34" t="s">
        <v>24</v>
      </c>
      <c r="C17" s="36">
        <f>S26</f>
        <v>2664733</v>
      </c>
      <c r="E17" s="51"/>
      <c r="G17" s="91" t="s">
        <v>9</v>
      </c>
      <c r="H17" s="4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2:19" ht="14" x14ac:dyDescent="0.25">
      <c r="B18" s="34" t="s">
        <v>25</v>
      </c>
      <c r="C18" s="35">
        <v>0</v>
      </c>
      <c r="E18" s="51"/>
      <c r="G18" s="90" t="s">
        <v>10</v>
      </c>
      <c r="H18" s="41"/>
      <c r="I18" s="15">
        <f>C8*(C6*C7)</f>
        <v>298168.5</v>
      </c>
      <c r="J18" s="15">
        <f t="shared" ref="J18:R18" si="6">I18*(1+$C$9)</f>
        <v>307113.55499999999</v>
      </c>
      <c r="K18" s="15">
        <f t="shared" si="6"/>
        <v>316326.96165000001</v>
      </c>
      <c r="L18" s="15">
        <f t="shared" si="6"/>
        <v>325816.77049950004</v>
      </c>
      <c r="M18" s="15">
        <f t="shared" si="6"/>
        <v>335591.27361448505</v>
      </c>
      <c r="N18" s="15">
        <f t="shared" si="6"/>
        <v>345659.01182291959</v>
      </c>
      <c r="O18" s="15">
        <f t="shared" si="6"/>
        <v>356028.78217760718</v>
      </c>
      <c r="P18" s="15">
        <f t="shared" si="6"/>
        <v>366709.64564293541</v>
      </c>
      <c r="Q18" s="15">
        <f t="shared" si="6"/>
        <v>377710.93501222349</v>
      </c>
      <c r="R18" s="15">
        <f t="shared" si="6"/>
        <v>389042.26306259021</v>
      </c>
      <c r="S18" s="15"/>
    </row>
    <row r="19" spans="2:19" ht="14" x14ac:dyDescent="0.25">
      <c r="B19" s="34" t="s">
        <v>26</v>
      </c>
      <c r="C19" s="37">
        <f>SUM(C17:C18)</f>
        <v>2664733</v>
      </c>
      <c r="E19" s="51"/>
      <c r="G19" s="90" t="s">
        <v>11</v>
      </c>
      <c r="H19" s="41"/>
      <c r="I19" s="93">
        <f>8500*12</f>
        <v>102000</v>
      </c>
      <c r="J19" s="93">
        <f>SUM(I19*1.03)</f>
        <v>105060</v>
      </c>
      <c r="K19" s="93">
        <f t="shared" ref="K19:R19" si="7">SUM(J19*1.03)</f>
        <v>108211.8</v>
      </c>
      <c r="L19" s="93">
        <f t="shared" si="7"/>
        <v>111458.15400000001</v>
      </c>
      <c r="M19" s="93">
        <f t="shared" si="7"/>
        <v>114801.89862000001</v>
      </c>
      <c r="N19" s="93">
        <f t="shared" si="7"/>
        <v>118245.95557860001</v>
      </c>
      <c r="O19" s="93">
        <f t="shared" si="7"/>
        <v>121793.33424595802</v>
      </c>
      <c r="P19" s="93">
        <f t="shared" si="7"/>
        <v>125447.13427333676</v>
      </c>
      <c r="Q19" s="93">
        <f t="shared" si="7"/>
        <v>129210.54830153687</v>
      </c>
      <c r="R19" s="93">
        <f t="shared" si="7"/>
        <v>133086.86475058299</v>
      </c>
      <c r="S19" s="15"/>
    </row>
    <row r="20" spans="2:19" ht="14" x14ac:dyDescent="0.25">
      <c r="B20" s="34" t="s">
        <v>27</v>
      </c>
      <c r="C20" s="53">
        <v>6.6500000000000004E-2</v>
      </c>
      <c r="E20" s="51"/>
      <c r="G20" s="90" t="s">
        <v>12</v>
      </c>
      <c r="H20" s="41"/>
      <c r="I20" s="93">
        <f>6000*12</f>
        <v>72000</v>
      </c>
      <c r="J20" s="93">
        <f>SUM(I20*1.03)</f>
        <v>74160</v>
      </c>
      <c r="K20" s="93">
        <f t="shared" ref="K20:R20" si="8">SUM(J20*1.03)</f>
        <v>76384.800000000003</v>
      </c>
      <c r="L20" s="93">
        <f t="shared" si="8"/>
        <v>78676.344000000012</v>
      </c>
      <c r="M20" s="93">
        <f t="shared" si="8"/>
        <v>81036.634320000012</v>
      </c>
      <c r="N20" s="93">
        <f t="shared" si="8"/>
        <v>83467.733349600021</v>
      </c>
      <c r="O20" s="93">
        <f t="shared" si="8"/>
        <v>85971.765350088026</v>
      </c>
      <c r="P20" s="93">
        <f t="shared" si="8"/>
        <v>88550.91831059067</v>
      </c>
      <c r="Q20" s="93">
        <f t="shared" si="8"/>
        <v>91207.445859908388</v>
      </c>
      <c r="R20" s="93">
        <f t="shared" si="8"/>
        <v>93943.669235705645</v>
      </c>
      <c r="S20" s="15"/>
    </row>
    <row r="21" spans="2:19" ht="14" x14ac:dyDescent="0.25">
      <c r="B21" s="34" t="s">
        <v>28</v>
      </c>
      <c r="C21" s="38">
        <f>C19/C20</f>
        <v>40071172.932330824</v>
      </c>
      <c r="E21" s="51"/>
      <c r="G21" s="90" t="s">
        <v>13</v>
      </c>
      <c r="H21" s="41"/>
      <c r="I21" s="93">
        <f>2250*12</f>
        <v>27000</v>
      </c>
      <c r="J21" s="93">
        <f>SUM(I21*1.03)</f>
        <v>27810</v>
      </c>
      <c r="K21" s="93">
        <f t="shared" ref="K21:R21" si="9">SUM(J21*1.03)</f>
        <v>28644.3</v>
      </c>
      <c r="L21" s="93">
        <f t="shared" si="9"/>
        <v>29503.629000000001</v>
      </c>
      <c r="M21" s="93">
        <f t="shared" si="9"/>
        <v>30388.737870000001</v>
      </c>
      <c r="N21" s="93">
        <f t="shared" si="9"/>
        <v>31300.400006100001</v>
      </c>
      <c r="O21" s="93">
        <f t="shared" si="9"/>
        <v>32239.412006283001</v>
      </c>
      <c r="P21" s="93">
        <f t="shared" si="9"/>
        <v>33206.594366471494</v>
      </c>
      <c r="Q21" s="93">
        <f t="shared" si="9"/>
        <v>34202.792197465642</v>
      </c>
      <c r="R21" s="93">
        <f t="shared" si="9"/>
        <v>35228.875963389612</v>
      </c>
      <c r="S21" s="15"/>
    </row>
    <row r="22" spans="2:19" ht="14" x14ac:dyDescent="0.25">
      <c r="B22" s="34" t="s">
        <v>29</v>
      </c>
      <c r="C22" s="36">
        <f>-D22*C21</f>
        <v>-400711.72932330827</v>
      </c>
      <c r="D22" s="86">
        <v>0.01</v>
      </c>
      <c r="E22" s="51"/>
      <c r="G22" s="90" t="s">
        <v>98</v>
      </c>
      <c r="H22" s="41"/>
      <c r="I22" s="93"/>
      <c r="J22" s="93"/>
      <c r="K22" s="93"/>
      <c r="L22" s="93" t="s">
        <v>23</v>
      </c>
      <c r="M22" s="93" t="s">
        <v>23</v>
      </c>
      <c r="N22" s="93" t="s">
        <v>23</v>
      </c>
      <c r="O22" s="93" t="s">
        <v>23</v>
      </c>
      <c r="P22" s="93" t="s">
        <v>23</v>
      </c>
      <c r="Q22" s="93" t="s">
        <v>23</v>
      </c>
      <c r="R22" s="93" t="s">
        <v>23</v>
      </c>
      <c r="S22" s="15"/>
    </row>
    <row r="23" spans="2:19" ht="14.5" thickBot="1" x14ac:dyDescent="0.3">
      <c r="B23" s="34" t="s">
        <v>30</v>
      </c>
      <c r="C23" s="54">
        <f>SUM(C21:C22)</f>
        <v>39670461.203007519</v>
      </c>
      <c r="E23" s="51"/>
      <c r="G23" s="90" t="s">
        <v>99</v>
      </c>
      <c r="H23" s="41"/>
      <c r="I23" s="15">
        <f>I16*C10</f>
        <v>68776.800000000003</v>
      </c>
      <c r="J23" s="15">
        <f>J16*$C$10</f>
        <v>70840.104000000007</v>
      </c>
      <c r="K23" s="15">
        <f t="shared" ref="I23:R23" si="10">K16*$C$10</f>
        <v>72965.307119999998</v>
      </c>
      <c r="L23" s="15">
        <f t="shared" si="10"/>
        <v>75154.266333600011</v>
      </c>
      <c r="M23" s="15">
        <f t="shared" si="10"/>
        <v>77408.894323608009</v>
      </c>
      <c r="N23" s="15">
        <f t="shared" si="10"/>
        <v>79731.16115331625</v>
      </c>
      <c r="O23" s="15">
        <f t="shared" si="10"/>
        <v>82123.095987915745</v>
      </c>
      <c r="P23" s="15">
        <f t="shared" si="10"/>
        <v>84586.78886755323</v>
      </c>
      <c r="Q23" s="15">
        <f t="shared" si="10"/>
        <v>87124.392533579827</v>
      </c>
      <c r="R23" s="15">
        <f t="shared" si="10"/>
        <v>89738.12430958722</v>
      </c>
      <c r="S23" s="15"/>
    </row>
    <row r="24" spans="2:19" x14ac:dyDescent="0.25">
      <c r="E24" s="51"/>
      <c r="G24" s="90" t="s">
        <v>100</v>
      </c>
      <c r="H24" s="41"/>
      <c r="I24" s="43">
        <f>C11</f>
        <v>199548</v>
      </c>
      <c r="J24" s="43">
        <f>I24*(1+$C$14)</f>
        <v>205534.44</v>
      </c>
      <c r="K24" s="43">
        <f t="shared" ref="K24:R24" si="11">J24*(1+$C$14)</f>
        <v>211700.47320000001</v>
      </c>
      <c r="L24" s="43">
        <f t="shared" si="11"/>
        <v>218051.48739600001</v>
      </c>
      <c r="M24" s="43">
        <f t="shared" si="11"/>
        <v>224593.03201788</v>
      </c>
      <c r="N24" s="43">
        <f t="shared" si="11"/>
        <v>231330.8229784164</v>
      </c>
      <c r="O24" s="43">
        <f t="shared" si="11"/>
        <v>238270.74766776891</v>
      </c>
      <c r="P24" s="43">
        <f t="shared" si="11"/>
        <v>245418.87009780199</v>
      </c>
      <c r="Q24" s="43">
        <f t="shared" si="11"/>
        <v>252781.43620073606</v>
      </c>
      <c r="R24" s="43">
        <f t="shared" si="11"/>
        <v>260364.87928675814</v>
      </c>
      <c r="S24" s="43"/>
    </row>
    <row r="25" spans="2:19" ht="13" x14ac:dyDescent="0.3">
      <c r="B25" s="19" t="s">
        <v>69</v>
      </c>
      <c r="E25" s="51"/>
      <c r="G25" s="90" t="s">
        <v>14</v>
      </c>
      <c r="H25" s="41"/>
      <c r="I25" s="98">
        <f>SUM(I18:I24)</f>
        <v>767493.3</v>
      </c>
      <c r="J25" s="98">
        <f t="shared" ref="J25:R25" si="12">SUM(J18:J24)</f>
        <v>790518.09899999993</v>
      </c>
      <c r="K25" s="98">
        <f t="shared" si="12"/>
        <v>814233.64197</v>
      </c>
      <c r="L25" s="98">
        <f t="shared" si="12"/>
        <v>838660.65122910007</v>
      </c>
      <c r="M25" s="98">
        <f t="shared" si="12"/>
        <v>863820.47076597309</v>
      </c>
      <c r="N25" s="98">
        <f t="shared" si="12"/>
        <v>889735.08488895232</v>
      </c>
      <c r="O25" s="98">
        <f t="shared" si="12"/>
        <v>916427.13743562088</v>
      </c>
      <c r="P25" s="98">
        <f t="shared" si="12"/>
        <v>943919.95155868959</v>
      </c>
      <c r="Q25" s="98">
        <f t="shared" si="12"/>
        <v>972237.55010545033</v>
      </c>
      <c r="R25" s="98">
        <f t="shared" si="12"/>
        <v>1001404.6766086138</v>
      </c>
      <c r="S25" s="42"/>
    </row>
    <row r="26" spans="2:19" ht="13" thickBot="1" x14ac:dyDescent="0.3">
      <c r="B26" s="1" t="s">
        <v>59</v>
      </c>
      <c r="C26" s="48">
        <v>0.59</v>
      </c>
      <c r="E26" s="51"/>
      <c r="G26" s="91" t="s">
        <v>15</v>
      </c>
      <c r="H26" s="41"/>
      <c r="I26" s="99">
        <f>SUM(I16-I25)</f>
        <v>1983578.7</v>
      </c>
      <c r="J26" s="99">
        <f t="shared" ref="J26:R26" si="13">SUM(J16-J25)</f>
        <v>2043086.0610000002</v>
      </c>
      <c r="K26" s="99">
        <f t="shared" si="13"/>
        <v>2104378.6428300003</v>
      </c>
      <c r="L26" s="99">
        <f t="shared" si="13"/>
        <v>2167510.0021149004</v>
      </c>
      <c r="M26" s="99">
        <f t="shared" si="13"/>
        <v>2232535.302178347</v>
      </c>
      <c r="N26" s="99">
        <f t="shared" si="13"/>
        <v>2299511.3612436973</v>
      </c>
      <c r="O26" s="99">
        <f t="shared" si="13"/>
        <v>2368496.7020810088</v>
      </c>
      <c r="P26" s="99">
        <f t="shared" si="13"/>
        <v>2439551.6031434392</v>
      </c>
      <c r="Q26" s="99">
        <f t="shared" si="13"/>
        <v>2512738.1512377425</v>
      </c>
      <c r="R26" s="99">
        <f t="shared" si="13"/>
        <v>2588120.2957748747</v>
      </c>
      <c r="S26" s="96">
        <v>2664733</v>
      </c>
    </row>
    <row r="27" spans="2:19" ht="13" x14ac:dyDescent="0.25">
      <c r="B27" s="1" t="s">
        <v>40</v>
      </c>
      <c r="C27" s="17">
        <v>23000000</v>
      </c>
      <c r="E27" s="51"/>
      <c r="G27" s="91" t="s">
        <v>16</v>
      </c>
      <c r="H27" s="47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2:19" x14ac:dyDescent="0.25">
      <c r="B28" s="1" t="s">
        <v>50</v>
      </c>
      <c r="C28" s="32">
        <v>4.3299999999999998E-2</v>
      </c>
      <c r="E28" s="51"/>
      <c r="G28" s="90" t="s">
        <v>17</v>
      </c>
      <c r="H28" s="41"/>
      <c r="I28" s="93"/>
      <c r="J28" s="93"/>
      <c r="K28" s="93">
        <v>230640</v>
      </c>
      <c r="L28" s="93"/>
      <c r="M28" s="93"/>
      <c r="N28" s="93"/>
      <c r="O28" s="93"/>
      <c r="P28" s="93">
        <v>595260</v>
      </c>
      <c r="Q28" s="93"/>
      <c r="R28" s="93"/>
      <c r="S28" s="15"/>
    </row>
    <row r="29" spans="2:19" x14ac:dyDescent="0.25">
      <c r="B29" s="1" t="s">
        <v>51</v>
      </c>
      <c r="C29" s="95">
        <v>30</v>
      </c>
      <c r="D29" s="1" t="s">
        <v>60</v>
      </c>
      <c r="E29" s="51"/>
      <c r="G29" s="90" t="s">
        <v>18</v>
      </c>
      <c r="H29" s="41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43"/>
    </row>
    <row r="30" spans="2:19" x14ac:dyDescent="0.25">
      <c r="B30" s="1" t="s">
        <v>44</v>
      </c>
      <c r="C30" s="49">
        <f>PMT(C28/12,C29*12,C27)*-1</f>
        <v>114225.95765300129</v>
      </c>
      <c r="E30" s="51"/>
      <c r="G30" s="91" t="s">
        <v>19</v>
      </c>
      <c r="H30" s="41"/>
      <c r="I30" s="98">
        <f>SUM(I28,I29)</f>
        <v>0</v>
      </c>
      <c r="J30" s="98">
        <f t="shared" ref="J30:R30" si="14">SUM(J28,J29)</f>
        <v>0</v>
      </c>
      <c r="K30" s="98">
        <f t="shared" si="14"/>
        <v>230640</v>
      </c>
      <c r="L30" s="98">
        <f t="shared" si="14"/>
        <v>0</v>
      </c>
      <c r="M30" s="98">
        <f t="shared" si="14"/>
        <v>0</v>
      </c>
      <c r="N30" s="98">
        <f t="shared" si="14"/>
        <v>0</v>
      </c>
      <c r="O30" s="98">
        <f t="shared" si="14"/>
        <v>0</v>
      </c>
      <c r="P30" s="98">
        <f t="shared" si="14"/>
        <v>595260</v>
      </c>
      <c r="Q30" s="98">
        <f t="shared" si="14"/>
        <v>0</v>
      </c>
      <c r="R30" s="98">
        <f t="shared" si="14"/>
        <v>0</v>
      </c>
      <c r="S30" s="42"/>
    </row>
    <row r="31" spans="2:19" ht="13" x14ac:dyDescent="0.25">
      <c r="E31" s="51"/>
      <c r="G31" s="91" t="s">
        <v>20</v>
      </c>
      <c r="H31" s="4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2:19" x14ac:dyDescent="0.25">
      <c r="E32" s="51"/>
      <c r="G32" s="90" t="s">
        <v>21</v>
      </c>
      <c r="H32" s="41"/>
      <c r="I32" s="43">
        <f>$C$13*175000</f>
        <v>35000</v>
      </c>
      <c r="J32" s="43">
        <f t="shared" ref="J32:R32" si="15">I32*(1+$C$14)</f>
        <v>36050</v>
      </c>
      <c r="K32" s="43">
        <f t="shared" si="15"/>
        <v>37131.5</v>
      </c>
      <c r="L32" s="43">
        <f t="shared" si="15"/>
        <v>38245.445</v>
      </c>
      <c r="M32" s="43">
        <f t="shared" si="15"/>
        <v>39392.808349999999</v>
      </c>
      <c r="N32" s="43">
        <f t="shared" si="15"/>
        <v>40574.5926005</v>
      </c>
      <c r="O32" s="43">
        <f t="shared" si="15"/>
        <v>41791.830378514998</v>
      </c>
      <c r="P32" s="43">
        <f t="shared" si="15"/>
        <v>43045.585289870447</v>
      </c>
      <c r="Q32" s="43">
        <f t="shared" si="15"/>
        <v>44336.952848566565</v>
      </c>
      <c r="R32" s="43">
        <f t="shared" si="15"/>
        <v>45667.061434023562</v>
      </c>
      <c r="S32" s="43"/>
    </row>
    <row r="33" spans="1:23" ht="13" x14ac:dyDescent="0.3">
      <c r="E33" s="51"/>
      <c r="G33" s="91" t="s">
        <v>22</v>
      </c>
      <c r="H33" s="41"/>
      <c r="I33" s="98">
        <f>SUM(I30,I32)</f>
        <v>35000</v>
      </c>
      <c r="J33" s="98">
        <f t="shared" ref="J33:R33" si="16">SUM(J30,J32)</f>
        <v>36050</v>
      </c>
      <c r="K33" s="98">
        <f t="shared" si="16"/>
        <v>267771.5</v>
      </c>
      <c r="L33" s="98">
        <f t="shared" si="16"/>
        <v>38245.445</v>
      </c>
      <c r="M33" s="98">
        <f t="shared" si="16"/>
        <v>39392.808349999999</v>
      </c>
      <c r="N33" s="98">
        <f t="shared" si="16"/>
        <v>40574.5926005</v>
      </c>
      <c r="O33" s="98">
        <f t="shared" si="16"/>
        <v>41791.830378514998</v>
      </c>
      <c r="P33" s="98">
        <f t="shared" si="16"/>
        <v>638305.58528987039</v>
      </c>
      <c r="Q33" s="98">
        <f t="shared" si="16"/>
        <v>44336.952848566565</v>
      </c>
      <c r="R33" s="98">
        <f t="shared" si="16"/>
        <v>45667.061434023562</v>
      </c>
      <c r="S33" s="42"/>
      <c r="V33" s="28"/>
      <c r="W33" s="29"/>
    </row>
    <row r="34" spans="1:23" ht="13.5" thickBot="1" x14ac:dyDescent="0.35">
      <c r="B34" s="113" t="s">
        <v>102</v>
      </c>
      <c r="C34" s="113"/>
      <c r="E34" s="51"/>
      <c r="G34" s="91" t="s">
        <v>39</v>
      </c>
      <c r="H34" s="41"/>
      <c r="I34" s="100">
        <f>SUM(I26-I33)</f>
        <v>1948578.7</v>
      </c>
      <c r="J34" s="100">
        <f t="shared" ref="J34:R34" si="17">SUM(J26-J33)</f>
        <v>2007036.0610000002</v>
      </c>
      <c r="K34" s="100">
        <f t="shared" si="17"/>
        <v>1836607.1428300003</v>
      </c>
      <c r="L34" s="100">
        <f t="shared" si="17"/>
        <v>2129264.5571149006</v>
      </c>
      <c r="M34" s="100">
        <f t="shared" si="17"/>
        <v>2193142.493828347</v>
      </c>
      <c r="N34" s="100">
        <f t="shared" si="17"/>
        <v>2258936.7686431971</v>
      </c>
      <c r="O34" s="100">
        <f t="shared" si="17"/>
        <v>2326704.8717024936</v>
      </c>
      <c r="P34" s="100">
        <f t="shared" si="17"/>
        <v>1801246.0178535688</v>
      </c>
      <c r="Q34" s="100">
        <f t="shared" si="17"/>
        <v>2468401.1983891758</v>
      </c>
      <c r="R34" s="100">
        <f t="shared" si="17"/>
        <v>2542453.2343408512</v>
      </c>
      <c r="S34" s="46"/>
      <c r="V34" s="28"/>
      <c r="W34" s="29"/>
    </row>
    <row r="35" spans="1:23" ht="13" x14ac:dyDescent="0.3">
      <c r="E35" s="51"/>
      <c r="V35" s="28"/>
      <c r="W35" s="29"/>
    </row>
    <row r="36" spans="1:23" ht="13" x14ac:dyDescent="0.3">
      <c r="E36" s="51"/>
      <c r="G36" s="22" t="s">
        <v>85</v>
      </c>
      <c r="H36" s="31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V36" s="28"/>
      <c r="W36" s="29"/>
    </row>
    <row r="37" spans="1:23" ht="13" x14ac:dyDescent="0.3">
      <c r="E37" s="5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V37" s="28"/>
      <c r="W37" s="29"/>
    </row>
    <row r="38" spans="1:23" ht="13" x14ac:dyDescent="0.3">
      <c r="A38" s="33"/>
      <c r="B38" s="33"/>
      <c r="C38" s="19"/>
      <c r="E38" s="51"/>
      <c r="G38" s="85" t="s">
        <v>36</v>
      </c>
      <c r="H38" s="97">
        <f>-C6</f>
        <v>-38900000</v>
      </c>
      <c r="V38" s="28"/>
      <c r="W38" s="29"/>
    </row>
    <row r="39" spans="1:23" ht="13" x14ac:dyDescent="0.3">
      <c r="E39" s="51"/>
      <c r="G39" s="85" t="s">
        <v>39</v>
      </c>
      <c r="H39" s="18"/>
      <c r="I39" s="97">
        <f>I34</f>
        <v>1948578.7</v>
      </c>
      <c r="J39" s="97">
        <f t="shared" ref="J39:R39" si="18">J34</f>
        <v>2007036.0610000002</v>
      </c>
      <c r="K39" s="97">
        <f t="shared" si="18"/>
        <v>1836607.1428300003</v>
      </c>
      <c r="L39" s="97">
        <f t="shared" si="18"/>
        <v>2129264.5571149006</v>
      </c>
      <c r="M39" s="97">
        <f t="shared" si="18"/>
        <v>2193142.493828347</v>
      </c>
      <c r="N39" s="97">
        <f t="shared" si="18"/>
        <v>2258936.7686431971</v>
      </c>
      <c r="O39" s="97">
        <f t="shared" si="18"/>
        <v>2326704.8717024936</v>
      </c>
      <c r="P39" s="97">
        <f t="shared" si="18"/>
        <v>1801246.0178535688</v>
      </c>
      <c r="Q39" s="97">
        <f t="shared" si="18"/>
        <v>2468401.1983891758</v>
      </c>
      <c r="R39" s="97">
        <f t="shared" si="18"/>
        <v>2542453.2343408512</v>
      </c>
      <c r="V39" s="28"/>
      <c r="W39" s="29"/>
    </row>
    <row r="40" spans="1:23" ht="13" x14ac:dyDescent="0.3">
      <c r="E40" s="51"/>
      <c r="G40" s="85" t="s">
        <v>56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97">
        <f>C23</f>
        <v>39670461.203007519</v>
      </c>
      <c r="V40" s="28"/>
      <c r="W40" s="29"/>
    </row>
    <row r="41" spans="1:23" ht="13.5" thickBot="1" x14ac:dyDescent="0.35">
      <c r="E41" s="51"/>
      <c r="G41" s="85" t="s">
        <v>38</v>
      </c>
      <c r="H41" s="101">
        <f>H38</f>
        <v>-38900000</v>
      </c>
      <c r="I41" s="101">
        <f>I39</f>
        <v>1948578.7</v>
      </c>
      <c r="J41" s="101">
        <f t="shared" ref="J41:R41" si="19">J39</f>
        <v>2007036.0610000002</v>
      </c>
      <c r="K41" s="101">
        <f t="shared" si="19"/>
        <v>1836607.1428300003</v>
      </c>
      <c r="L41" s="101">
        <f t="shared" si="19"/>
        <v>2129264.5571149006</v>
      </c>
      <c r="M41" s="101">
        <f t="shared" si="19"/>
        <v>2193142.493828347</v>
      </c>
      <c r="N41" s="101">
        <f t="shared" si="19"/>
        <v>2258936.7686431971</v>
      </c>
      <c r="O41" s="101">
        <f t="shared" si="19"/>
        <v>2326704.8717024936</v>
      </c>
      <c r="P41" s="101">
        <f t="shared" si="19"/>
        <v>1801246.0178535688</v>
      </c>
      <c r="Q41" s="101">
        <f t="shared" si="19"/>
        <v>2468401.1983891758</v>
      </c>
      <c r="R41" s="101">
        <f>R39+R40</f>
        <v>42212914.437348373</v>
      </c>
      <c r="V41" s="28"/>
      <c r="W41" s="29"/>
    </row>
    <row r="42" spans="1:23" ht="13" x14ac:dyDescent="0.3">
      <c r="E42" s="51"/>
      <c r="V42" s="28"/>
      <c r="W42" s="29"/>
    </row>
    <row r="43" spans="1:23" ht="13" x14ac:dyDescent="0.3">
      <c r="E43" s="51"/>
      <c r="G43" s="92" t="s">
        <v>37</v>
      </c>
      <c r="H43" s="102">
        <f>IRR(H41:R41)</f>
        <v>5.6205811411655704E-2</v>
      </c>
      <c r="V43" s="28"/>
      <c r="W43" s="29"/>
    </row>
    <row r="44" spans="1:23" ht="13" x14ac:dyDescent="0.3">
      <c r="E44" s="51"/>
      <c r="G44" s="21"/>
      <c r="H44" s="21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V44" s="28"/>
      <c r="W44" s="29"/>
    </row>
    <row r="45" spans="1:23" ht="13" x14ac:dyDescent="0.3">
      <c r="E45" s="51"/>
      <c r="G45" s="22" t="s">
        <v>86</v>
      </c>
      <c r="H45" s="111" t="s">
        <v>103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V45" s="28"/>
      <c r="W45" s="29"/>
    </row>
    <row r="46" spans="1:23" ht="13" x14ac:dyDescent="0.3">
      <c r="E46" s="51"/>
      <c r="G46" s="21"/>
      <c r="H46" s="21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V46" s="28"/>
      <c r="W46" s="29"/>
    </row>
    <row r="47" spans="1:23" ht="13" x14ac:dyDescent="0.3">
      <c r="D47" s="26"/>
      <c r="E47" s="51"/>
      <c r="G47" s="45" t="s">
        <v>46</v>
      </c>
      <c r="H47" s="21"/>
      <c r="I47" s="30">
        <f t="shared" ref="I47:R47" si="20">PV($C$28/12,($C$29-(I2-1))*12,-$C$30)</f>
        <v>23000000.000000283</v>
      </c>
      <c r="J47" s="30">
        <f t="shared" si="20"/>
        <v>22617659.863206144</v>
      </c>
      <c r="K47" s="30">
        <f t="shared" si="20"/>
        <v>22218431.860162716</v>
      </c>
      <c r="L47" s="30">
        <f t="shared" si="20"/>
        <v>21801570.05812842</v>
      </c>
      <c r="M47" s="30">
        <f t="shared" si="20"/>
        <v>21366295.576702893</v>
      </c>
      <c r="N47" s="30">
        <f t="shared" si="20"/>
        <v>20911795.132537276</v>
      </c>
      <c r="O47" s="30">
        <f t="shared" si="20"/>
        <v>20437219.5197648</v>
      </c>
      <c r="P47" s="30">
        <f t="shared" si="20"/>
        <v>19941682.023312319</v>
      </c>
      <c r="Q47" s="30">
        <f t="shared" si="20"/>
        <v>19424256.762128241</v>
      </c>
      <c r="R47" s="30">
        <f t="shared" si="20"/>
        <v>18883976.959231261</v>
      </c>
      <c r="S47" s="30"/>
      <c r="V47" s="28"/>
      <c r="W47" s="29"/>
    </row>
    <row r="48" spans="1:23" ht="13" x14ac:dyDescent="0.3">
      <c r="E48" s="51"/>
      <c r="G48" s="45" t="s">
        <v>57</v>
      </c>
      <c r="H48" s="21"/>
      <c r="I48" s="30">
        <f>VLOOKUP(I$2,'Loan Amortization_BLANK'!$J$15:$N$44,2,FALSE)</f>
        <v>1370711.4918360151</v>
      </c>
      <c r="J48" s="30">
        <f>VLOOKUP(J$2,'Loan Amortization_BLANK'!$J$15:$N$44,2,FALSE)</f>
        <v>1370711.4918360151</v>
      </c>
      <c r="K48" s="30">
        <f>VLOOKUP(K$2,'Loan Amortization_BLANK'!$J$15:$N$44,2,FALSE)</f>
        <v>1370711.4918360151</v>
      </c>
      <c r="L48" s="30">
        <f>VLOOKUP(L$2,'Loan Amortization_BLANK'!$J$15:$N$44,2,FALSE)</f>
        <v>1370711.4918360151</v>
      </c>
      <c r="M48" s="30">
        <f>VLOOKUP(M$2,'Loan Amortization_BLANK'!$J$15:$N$44,2,FALSE)</f>
        <v>1370711.4918360151</v>
      </c>
      <c r="N48" s="30">
        <f>VLOOKUP(N$2,'Loan Amortization_BLANK'!$J$15:$N$44,2,FALSE)</f>
        <v>1370711.4918360151</v>
      </c>
      <c r="O48" s="30">
        <f>VLOOKUP(O$2,'Loan Amortization_BLANK'!$J$15:$N$44,2,FALSE)</f>
        <v>1370711.4918360151</v>
      </c>
      <c r="P48" s="30">
        <f>VLOOKUP(P$2,'Loan Amortization_BLANK'!$J$15:$N$44,2,FALSE)</f>
        <v>1370711.4918360151</v>
      </c>
      <c r="Q48" s="30">
        <f>VLOOKUP(Q$2,'Loan Amortization_BLANK'!$J$15:$N$44,2,FALSE)</f>
        <v>1370711.4918360151</v>
      </c>
      <c r="R48" s="30">
        <f>VLOOKUP(R$2,'Loan Amortization_BLANK'!$J$15:$N$44,2,FALSE)</f>
        <v>1370711.4918360151</v>
      </c>
      <c r="S48" s="30"/>
      <c r="V48" s="28"/>
      <c r="W48" s="29"/>
    </row>
    <row r="49" spans="5:23" ht="13" x14ac:dyDescent="0.3">
      <c r="E49" s="51"/>
      <c r="G49" s="45" t="s">
        <v>47</v>
      </c>
      <c r="H49" s="21"/>
      <c r="I49" s="30">
        <f>VLOOKUP(I$2,'Loan Amortization_BLANK'!$J$15:$N$44,3,FALSE)</f>
        <v>988371.35504187376</v>
      </c>
      <c r="J49" s="30">
        <f>VLOOKUP(J$2,'Loan Amortization_BLANK'!$J$15:$N$44,3,FALSE)</f>
        <v>971483.48879258556</v>
      </c>
      <c r="K49" s="30">
        <f>VLOOKUP(K$2,'Loan Amortization_BLANK'!$J$15:$N$44,3,FALSE)</f>
        <v>953849.68980171962</v>
      </c>
      <c r="L49" s="30">
        <f>VLOOKUP(L$2,'Loan Amortization_BLANK'!$J$15:$N$44,3,FALSE)</f>
        <v>935437.01041048171</v>
      </c>
      <c r="M49" s="30">
        <f>VLOOKUP(M$2,'Loan Amortization_BLANK'!$J$15:$N$44,3,FALSE)</f>
        <v>916211.04767039767</v>
      </c>
      <c r="N49" s="30">
        <f>VLOOKUP(N$2,'Loan Amortization_BLANK'!$J$15:$N$44,3,FALSE)</f>
        <v>896135.87906354107</v>
      </c>
      <c r="O49" s="30">
        <f>VLOOKUP(O$2,'Loan Amortization_BLANK'!$J$15:$N$44,3,FALSE)</f>
        <v>875173.99538353691</v>
      </c>
      <c r="P49" s="30">
        <f>VLOOKUP(P$2,'Loan Amortization_BLANK'!$J$15:$N$44,3,FALSE)</f>
        <v>853286.23065193987</v>
      </c>
      <c r="Q49" s="30">
        <f>VLOOKUP(Q$2,'Loan Amortization_BLANK'!$J$15:$N$44,3,FALSE)</f>
        <v>830431.68893903412</v>
      </c>
      <c r="R49" s="30">
        <f>VLOOKUP(R$2,'Loan Amortization_BLANK'!$J$15:$N$44,3,FALSE)</f>
        <v>806567.66795232601</v>
      </c>
      <c r="S49" s="30"/>
      <c r="V49" s="28"/>
      <c r="W49" s="29"/>
    </row>
    <row r="50" spans="5:23" ht="13" x14ac:dyDescent="0.3">
      <c r="E50" s="51"/>
      <c r="G50" s="45" t="s">
        <v>48</v>
      </c>
      <c r="H50" s="21"/>
      <c r="I50" s="30">
        <f>VLOOKUP(I$2,'Loan Amortization_BLANK'!$J$15:$N$44,4,FALSE)</f>
        <v>382340.13679414173</v>
      </c>
      <c r="J50" s="30">
        <f>VLOOKUP(J$2,'Loan Amortization_BLANK'!$J$15:$N$44,4,FALSE)</f>
        <v>399228.00304343004</v>
      </c>
      <c r="K50" s="30">
        <f>VLOOKUP(K$2,'Loan Amortization_BLANK'!$J$15:$N$44,4,FALSE)</f>
        <v>416861.80203429575</v>
      </c>
      <c r="L50" s="30">
        <f>VLOOKUP(L$2,'Loan Amortization_BLANK'!$J$15:$N$44,4,FALSE)</f>
        <v>435274.48142553365</v>
      </c>
      <c r="M50" s="30">
        <f>VLOOKUP(M$2,'Loan Amortization_BLANK'!$J$15:$N$44,4,FALSE)</f>
        <v>454500.44416561764</v>
      </c>
      <c r="N50" s="30">
        <f>VLOOKUP(N$2,'Loan Amortization_BLANK'!$J$15:$N$44,4,FALSE)</f>
        <v>474575.61277247441</v>
      </c>
      <c r="O50" s="30">
        <f>VLOOKUP(O$2,'Loan Amortization_BLANK'!$J$15:$N$44,4,FALSE)</f>
        <v>495537.49645247863</v>
      </c>
      <c r="P50" s="30">
        <f>VLOOKUP(P$2,'Loan Amortization_BLANK'!$J$15:$N$44,4,FALSE)</f>
        <v>517425.2611840755</v>
      </c>
      <c r="Q50" s="30">
        <f>VLOOKUP(Q$2,'Loan Amortization_BLANK'!$J$15:$N$44,4,FALSE)</f>
        <v>540279.80289698124</v>
      </c>
      <c r="R50" s="30">
        <f>VLOOKUP(R$2,'Loan Amortization_BLANK'!$J$15:$N$44,4,FALSE)</f>
        <v>564143.82388368924</v>
      </c>
      <c r="S50" s="30"/>
      <c r="V50" s="28"/>
      <c r="W50" s="29"/>
    </row>
    <row r="51" spans="5:23" ht="13" x14ac:dyDescent="0.3">
      <c r="E51" s="51"/>
      <c r="G51" s="45" t="s">
        <v>49</v>
      </c>
      <c r="H51" s="21"/>
      <c r="I51" s="30">
        <f>VLOOKUP(I$2,'Loan Amortization_BLANK'!$J$15:$N$44,5,FALSE)</f>
        <v>22617659.863205865</v>
      </c>
      <c r="J51" s="30">
        <f>VLOOKUP(J$2,'Loan Amortization_BLANK'!$J$15:$N$44,5,FALSE)</f>
        <v>22218431.860162437</v>
      </c>
      <c r="K51" s="30">
        <f>VLOOKUP(K$2,'Loan Amortization_BLANK'!$J$15:$N$44,5,FALSE)</f>
        <v>21801570.058128141</v>
      </c>
      <c r="L51" s="30">
        <f>VLOOKUP(L$2,'Loan Amortization_BLANK'!$J$15:$N$44,5,FALSE)</f>
        <v>21366295.576702613</v>
      </c>
      <c r="M51" s="30">
        <f>VLOOKUP(M$2,'Loan Amortization_BLANK'!$J$15:$N$44,5,FALSE)</f>
        <v>20911795.132536996</v>
      </c>
      <c r="N51" s="30">
        <f>VLOOKUP(N$2,'Loan Amortization_BLANK'!$J$15:$N$44,5,FALSE)</f>
        <v>20437219.519764531</v>
      </c>
      <c r="O51" s="30">
        <f>VLOOKUP(O$2,'Loan Amortization_BLANK'!$J$15:$N$44,5,FALSE)</f>
        <v>19941682.023312051</v>
      </c>
      <c r="P51" s="30">
        <f>VLOOKUP(P$2,'Loan Amortization_BLANK'!$J$15:$N$44,5,FALSE)</f>
        <v>19424256.762127981</v>
      </c>
      <c r="Q51" s="30">
        <f>VLOOKUP(Q$2,'Loan Amortization_BLANK'!$J$15:$N$44,5,FALSE)</f>
        <v>18883976.959231</v>
      </c>
      <c r="R51" s="30">
        <f>VLOOKUP(R$2,'Loan Amortization_BLANK'!$J$15:$N$44,5,FALSE)</f>
        <v>18319833.13534731</v>
      </c>
      <c r="S51" s="30"/>
      <c r="V51" s="28"/>
      <c r="W51" s="29"/>
    </row>
    <row r="52" spans="5:23" ht="13" x14ac:dyDescent="0.3">
      <c r="E52" s="51"/>
      <c r="G52" s="85"/>
      <c r="H52" s="21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V52" s="28"/>
      <c r="W52" s="29"/>
    </row>
    <row r="53" spans="5:23" ht="13" x14ac:dyDescent="0.3">
      <c r="E53" s="51"/>
      <c r="G53" s="22" t="s">
        <v>88</v>
      </c>
      <c r="H53" s="21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V53" s="28"/>
      <c r="W53" s="29"/>
    </row>
    <row r="54" spans="5:23" ht="13" x14ac:dyDescent="0.3">
      <c r="E54" s="51"/>
      <c r="G54" s="45"/>
      <c r="H54" s="21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V54" s="28"/>
      <c r="W54" s="29"/>
    </row>
    <row r="55" spans="5:23" ht="13" x14ac:dyDescent="0.3">
      <c r="E55" s="51"/>
      <c r="G55" s="45" t="s">
        <v>73</v>
      </c>
      <c r="H55" s="104">
        <v>-27230000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V55" s="28"/>
      <c r="W55" s="29"/>
    </row>
    <row r="56" spans="5:23" ht="13" x14ac:dyDescent="0.3">
      <c r="E56" s="51"/>
      <c r="G56" s="85" t="s">
        <v>75</v>
      </c>
      <c r="H56" s="21"/>
      <c r="I56" s="105">
        <f>I48</f>
        <v>1370711.4918360151</v>
      </c>
      <c r="J56" s="105">
        <f t="shared" ref="J56:R56" si="21">J48</f>
        <v>1370711.4918360151</v>
      </c>
      <c r="K56" s="105">
        <f t="shared" si="21"/>
        <v>1370711.4918360151</v>
      </c>
      <c r="L56" s="105">
        <f t="shared" si="21"/>
        <v>1370711.4918360151</v>
      </c>
      <c r="M56" s="105">
        <f t="shared" si="21"/>
        <v>1370711.4918360151</v>
      </c>
      <c r="N56" s="105">
        <f t="shared" si="21"/>
        <v>1370711.4918360151</v>
      </c>
      <c r="O56" s="105">
        <f t="shared" si="21"/>
        <v>1370711.4918360151</v>
      </c>
      <c r="P56" s="105">
        <f t="shared" si="21"/>
        <v>1370711.4918360151</v>
      </c>
      <c r="Q56" s="105">
        <f t="shared" si="21"/>
        <v>1370711.4918360151</v>
      </c>
      <c r="R56" s="105">
        <f t="shared" si="21"/>
        <v>1370711.4918360151</v>
      </c>
      <c r="S56" s="30"/>
      <c r="V56" s="28"/>
      <c r="W56" s="29"/>
    </row>
    <row r="57" spans="5:23" ht="13" x14ac:dyDescent="0.3">
      <c r="E57" s="51"/>
      <c r="G57" s="45" t="s">
        <v>74</v>
      </c>
      <c r="H57" s="44"/>
      <c r="I57" s="84"/>
      <c r="J57" s="84"/>
      <c r="K57" s="84"/>
      <c r="L57" s="84"/>
      <c r="M57" s="84"/>
      <c r="N57" s="84"/>
      <c r="O57" s="84"/>
      <c r="P57" s="84"/>
      <c r="Q57" s="84"/>
      <c r="R57" s="106">
        <f>R51</f>
        <v>18319833.13534731</v>
      </c>
      <c r="S57" s="30"/>
      <c r="V57" s="28"/>
      <c r="W57" s="29"/>
    </row>
    <row r="58" spans="5:23" ht="13.5" thickBot="1" x14ac:dyDescent="0.35">
      <c r="E58" s="51"/>
      <c r="G58" s="45" t="s">
        <v>58</v>
      </c>
      <c r="H58" s="100">
        <f>H55</f>
        <v>-27230000</v>
      </c>
      <c r="I58" s="100">
        <f>I56</f>
        <v>1370711.4918360151</v>
      </c>
      <c r="J58" s="100">
        <f t="shared" ref="J58:R58" si="22">J56</f>
        <v>1370711.4918360151</v>
      </c>
      <c r="K58" s="100">
        <f t="shared" si="22"/>
        <v>1370711.4918360151</v>
      </c>
      <c r="L58" s="100">
        <f t="shared" si="22"/>
        <v>1370711.4918360151</v>
      </c>
      <c r="M58" s="100">
        <f t="shared" si="22"/>
        <v>1370711.4918360151</v>
      </c>
      <c r="N58" s="100">
        <f t="shared" si="22"/>
        <v>1370711.4918360151</v>
      </c>
      <c r="O58" s="100">
        <f t="shared" si="22"/>
        <v>1370711.4918360151</v>
      </c>
      <c r="P58" s="100">
        <f t="shared" si="22"/>
        <v>1370711.4918360151</v>
      </c>
      <c r="Q58" s="100">
        <f t="shared" si="22"/>
        <v>1370711.4918360151</v>
      </c>
      <c r="R58" s="100">
        <f>R56+R57</f>
        <v>19690544.627183326</v>
      </c>
      <c r="S58" s="30"/>
      <c r="V58" s="28"/>
      <c r="W58" s="29"/>
    </row>
    <row r="59" spans="5:23" ht="13" x14ac:dyDescent="0.3">
      <c r="E59" s="51"/>
      <c r="G59" s="21"/>
      <c r="H59" s="21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V59" s="28"/>
      <c r="W59" s="29"/>
    </row>
    <row r="60" spans="5:23" x14ac:dyDescent="0.25">
      <c r="E60" s="51"/>
      <c r="G60" s="92" t="s">
        <v>82</v>
      </c>
      <c r="H60" s="102">
        <f>IRR(H58:R58)</f>
        <v>2.0526374071373255E-2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5:23" x14ac:dyDescent="0.25">
      <c r="E61" s="51"/>
    </row>
    <row r="62" spans="5:23" ht="13" x14ac:dyDescent="0.3">
      <c r="E62" s="51"/>
      <c r="G62" s="19" t="s">
        <v>87</v>
      </c>
      <c r="H62" s="16"/>
    </row>
    <row r="63" spans="5:23" x14ac:dyDescent="0.25">
      <c r="E63" s="51"/>
    </row>
    <row r="64" spans="5:23" x14ac:dyDescent="0.25">
      <c r="E64" s="51"/>
      <c r="G64" s="85" t="s">
        <v>83</v>
      </c>
      <c r="H64" s="107">
        <f>(SUM(-C6+C27))</f>
        <v>-15900000</v>
      </c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5:19" x14ac:dyDescent="0.25">
      <c r="E65" s="51"/>
      <c r="G65" s="85" t="s">
        <v>84</v>
      </c>
      <c r="I65" s="97">
        <f>SUM(I34-I56)</f>
        <v>577867.20816398482</v>
      </c>
      <c r="J65" s="97">
        <f t="shared" ref="J65:R65" si="23">SUM(J34-J56)</f>
        <v>636324.56916398508</v>
      </c>
      <c r="K65" s="97">
        <f t="shared" si="23"/>
        <v>465895.65099398512</v>
      </c>
      <c r="L65" s="97">
        <f t="shared" si="23"/>
        <v>758553.06527888542</v>
      </c>
      <c r="M65" s="97">
        <f t="shared" si="23"/>
        <v>822431.00199233182</v>
      </c>
      <c r="N65" s="97">
        <f t="shared" si="23"/>
        <v>888225.276807182</v>
      </c>
      <c r="O65" s="97">
        <f t="shared" si="23"/>
        <v>955993.3798664785</v>
      </c>
      <c r="P65" s="97">
        <f t="shared" si="23"/>
        <v>430534.52601755364</v>
      </c>
      <c r="Q65" s="97">
        <f t="shared" si="23"/>
        <v>1097689.7065531607</v>
      </c>
      <c r="R65" s="97">
        <f t="shared" si="23"/>
        <v>1171741.7425048361</v>
      </c>
      <c r="S65" s="18"/>
    </row>
    <row r="66" spans="5:19" x14ac:dyDescent="0.25">
      <c r="E66" s="51"/>
      <c r="G66" s="85" t="s">
        <v>34</v>
      </c>
      <c r="I66" s="18"/>
      <c r="J66" s="18"/>
      <c r="K66" s="18"/>
      <c r="L66" s="18"/>
      <c r="M66" s="18"/>
      <c r="N66" s="18"/>
      <c r="O66" s="18"/>
      <c r="P66" s="18"/>
      <c r="Q66" s="18"/>
      <c r="R66" s="97">
        <f>SUM(R40-R57)</f>
        <v>21350628.067660209</v>
      </c>
      <c r="S66" s="18"/>
    </row>
    <row r="67" spans="5:19" ht="13" thickBot="1" x14ac:dyDescent="0.3">
      <c r="E67" s="51"/>
      <c r="G67" s="85" t="s">
        <v>38</v>
      </c>
      <c r="H67" s="101">
        <f>H64</f>
        <v>-15900000</v>
      </c>
      <c r="I67" s="101">
        <f>I65</f>
        <v>577867.20816398482</v>
      </c>
      <c r="J67" s="101">
        <f t="shared" ref="J67:R67" si="24">J65</f>
        <v>636324.56916398508</v>
      </c>
      <c r="K67" s="101">
        <f t="shared" si="24"/>
        <v>465895.65099398512</v>
      </c>
      <c r="L67" s="101">
        <f t="shared" si="24"/>
        <v>758553.06527888542</v>
      </c>
      <c r="M67" s="101">
        <f t="shared" si="24"/>
        <v>822431.00199233182</v>
      </c>
      <c r="N67" s="101">
        <f t="shared" si="24"/>
        <v>888225.276807182</v>
      </c>
      <c r="O67" s="101">
        <f t="shared" si="24"/>
        <v>955993.3798664785</v>
      </c>
      <c r="P67" s="101">
        <f t="shared" si="24"/>
        <v>430534.52601755364</v>
      </c>
      <c r="Q67" s="101">
        <f t="shared" si="24"/>
        <v>1097689.7065531607</v>
      </c>
      <c r="R67" s="101">
        <f>R65+R66</f>
        <v>22522369.810165044</v>
      </c>
      <c r="S67" s="18"/>
    </row>
    <row r="68" spans="5:19" x14ac:dyDescent="0.25">
      <c r="E68" s="51"/>
    </row>
    <row r="69" spans="5:19" x14ac:dyDescent="0.25">
      <c r="E69" s="51"/>
      <c r="G69" s="92" t="s">
        <v>55</v>
      </c>
      <c r="H69" s="102">
        <f>IRR(H67:R67)</f>
        <v>7.1766830878665422E-2</v>
      </c>
    </row>
    <row r="70" spans="5:19" x14ac:dyDescent="0.25">
      <c r="E70" s="51"/>
      <c r="S70" s="2"/>
    </row>
    <row r="71" spans="5:19" ht="13" x14ac:dyDescent="0.3">
      <c r="E71" s="51"/>
      <c r="G71" s="19" t="s">
        <v>93</v>
      </c>
      <c r="S71" s="2"/>
    </row>
    <row r="72" spans="5:19" x14ac:dyDescent="0.25">
      <c r="E72" s="51"/>
      <c r="S72" s="2"/>
    </row>
    <row r="73" spans="5:19" x14ac:dyDescent="0.25">
      <c r="E73" s="51"/>
      <c r="G73" s="85" t="s">
        <v>94</v>
      </c>
      <c r="S73" s="2"/>
    </row>
    <row r="74" spans="5:19" ht="14" x14ac:dyDescent="0.25">
      <c r="E74" s="51"/>
      <c r="G74" s="90" t="s">
        <v>37</v>
      </c>
      <c r="H74" s="39"/>
      <c r="I74" s="108">
        <f>H43</f>
        <v>5.6205811411655704E-2</v>
      </c>
      <c r="S74" s="2"/>
    </row>
    <row r="75" spans="5:19" x14ac:dyDescent="0.25">
      <c r="E75" s="51"/>
      <c r="G75" s="89" t="s">
        <v>55</v>
      </c>
      <c r="I75" s="109">
        <f>H69</f>
        <v>7.1766830878665422E-2</v>
      </c>
      <c r="S75" s="2"/>
    </row>
    <row r="76" spans="5:19" x14ac:dyDescent="0.25">
      <c r="E76" s="51"/>
      <c r="G76" s="89" t="s">
        <v>92</v>
      </c>
      <c r="I76" s="110">
        <f>SUM(I67:R67)/-H67</f>
        <v>1.8337034084907291</v>
      </c>
      <c r="S76" s="2"/>
    </row>
    <row r="77" spans="5:19" x14ac:dyDescent="0.25">
      <c r="E77" s="51"/>
      <c r="I77" s="1" t="s">
        <v>104</v>
      </c>
      <c r="S77" s="2"/>
    </row>
    <row r="78" spans="5:19" x14ac:dyDescent="0.25">
      <c r="E78" s="51"/>
      <c r="G78" s="85" t="s">
        <v>95</v>
      </c>
      <c r="S78" s="2"/>
    </row>
    <row r="79" spans="5:19" x14ac:dyDescent="0.25">
      <c r="E79" s="51"/>
      <c r="G79" s="90" t="s">
        <v>90</v>
      </c>
      <c r="I79" s="109">
        <f>I26/$C$6</f>
        <v>5.0991740359897168E-2</v>
      </c>
      <c r="J79" s="109">
        <f t="shared" ref="J79:R79" si="25">J26/$C$6</f>
        <v>5.2521492570694092E-2</v>
      </c>
      <c r="K79" s="109">
        <f t="shared" si="25"/>
        <v>5.4097137347814919E-2</v>
      </c>
      <c r="L79" s="109">
        <f t="shared" si="25"/>
        <v>5.5720051468249369E-2</v>
      </c>
      <c r="M79" s="109">
        <f t="shared" si="25"/>
        <v>5.7391653012296838E-2</v>
      </c>
      <c r="N79" s="109">
        <f t="shared" si="25"/>
        <v>5.9113402602665739E-2</v>
      </c>
      <c r="O79" s="109">
        <f t="shared" si="25"/>
        <v>6.0886804680745726E-2</v>
      </c>
      <c r="P79" s="109">
        <f t="shared" si="25"/>
        <v>6.2713408821168104E-2</v>
      </c>
      <c r="Q79" s="109">
        <f t="shared" si="25"/>
        <v>6.4594811085803144E-2</v>
      </c>
      <c r="R79" s="109">
        <f t="shared" si="25"/>
        <v>6.6532655418377246E-2</v>
      </c>
    </row>
    <row r="80" spans="5:19" x14ac:dyDescent="0.25">
      <c r="E80" s="51"/>
      <c r="G80" s="89" t="s">
        <v>91</v>
      </c>
      <c r="I80" s="109">
        <f>-I67/$H$67</f>
        <v>3.634384957006194E-2</v>
      </c>
      <c r="J80" s="109">
        <f t="shared" ref="J80:R80" si="26">-J67/$H$67</f>
        <v>4.0020413154967613E-2</v>
      </c>
      <c r="K80" s="109">
        <f t="shared" si="26"/>
        <v>2.9301613270061956E-2</v>
      </c>
      <c r="L80" s="109">
        <f t="shared" si="26"/>
        <v>4.7707739954646881E-2</v>
      </c>
      <c r="M80" s="109">
        <f t="shared" si="26"/>
        <v>5.1725220251090054E-2</v>
      </c>
      <c r="N80" s="109">
        <f t="shared" si="26"/>
        <v>5.5863224956426538E-2</v>
      </c>
      <c r="O80" s="109">
        <f t="shared" si="26"/>
        <v>6.0125369802923177E-2</v>
      </c>
      <c r="P80" s="109">
        <f t="shared" si="26"/>
        <v>2.7077643145758092E-2</v>
      </c>
      <c r="Q80" s="109">
        <f t="shared" si="26"/>
        <v>6.9037088462462939E-2</v>
      </c>
      <c r="R80" s="109">
        <f t="shared" si="26"/>
        <v>1.4165012459223298</v>
      </c>
    </row>
    <row r="81" spans="5:18" x14ac:dyDescent="0.25">
      <c r="E81" s="51"/>
    </row>
    <row r="82" spans="5:18" x14ac:dyDescent="0.25">
      <c r="E82" s="51"/>
      <c r="G82" s="85" t="s">
        <v>96</v>
      </c>
    </row>
    <row r="83" spans="5:18" x14ac:dyDescent="0.25">
      <c r="E83" s="51"/>
      <c r="G83" s="90" t="s">
        <v>52</v>
      </c>
      <c r="I83" s="115">
        <v>8.5999999999999993E-2</v>
      </c>
      <c r="J83" s="109">
        <f>SUM(J26/$C$27)</f>
        <v>8.8829828739130451E-2</v>
      </c>
      <c r="K83" s="109">
        <f t="shared" ref="K83:R83" si="27">SUM(K26/$C$27)</f>
        <v>9.1494723601304354E-2</v>
      </c>
      <c r="L83" s="109">
        <f t="shared" si="27"/>
        <v>9.4239565309343493E-2</v>
      </c>
      <c r="M83" s="109">
        <f t="shared" si="27"/>
        <v>9.7066752268623782E-2</v>
      </c>
      <c r="N83" s="109">
        <f t="shared" si="27"/>
        <v>9.997875483668249E-2</v>
      </c>
      <c r="O83" s="109">
        <f t="shared" si="27"/>
        <v>0.102978117481783</v>
      </c>
      <c r="P83" s="109">
        <f t="shared" si="27"/>
        <v>0.10606746100623649</v>
      </c>
      <c r="Q83" s="109">
        <f t="shared" si="27"/>
        <v>0.10924948483642359</v>
      </c>
      <c r="R83" s="109">
        <f t="shared" si="27"/>
        <v>0.1125269693815163</v>
      </c>
    </row>
    <row r="84" spans="5:18" x14ac:dyDescent="0.25">
      <c r="E84" s="51"/>
      <c r="G84" s="89" t="s">
        <v>53</v>
      </c>
      <c r="I84" s="110">
        <f>I26/I56</f>
        <v>1.4471161231333027</v>
      </c>
      <c r="J84" s="110">
        <f t="shared" ref="J84:R84" si="28">J26/J56</f>
        <v>1.490529606827302</v>
      </c>
      <c r="K84" s="110">
        <f t="shared" si="28"/>
        <v>1.535245495032121</v>
      </c>
      <c r="L84" s="110">
        <f t="shared" si="28"/>
        <v>1.5813028598830847</v>
      </c>
      <c r="M84" s="110">
        <f t="shared" si="28"/>
        <v>1.6287419456795771</v>
      </c>
      <c r="N84" s="110">
        <f t="shared" si="28"/>
        <v>1.6776042040499644</v>
      </c>
      <c r="O84" s="110">
        <f t="shared" si="28"/>
        <v>1.7279323301714637</v>
      </c>
      <c r="P84" s="110">
        <f t="shared" si="28"/>
        <v>1.7797703000766076</v>
      </c>
      <c r="Q84" s="110">
        <f t="shared" si="28"/>
        <v>1.833163409078906</v>
      </c>
      <c r="R84" s="110">
        <f t="shared" si="28"/>
        <v>1.8881583113512732</v>
      </c>
    </row>
    <row r="85" spans="5:18" x14ac:dyDescent="0.25">
      <c r="E85" s="51"/>
    </row>
    <row r="86" spans="5:18" x14ac:dyDescent="0.25">
      <c r="E86" s="51"/>
      <c r="J86" s="40"/>
      <c r="K86" s="40"/>
      <c r="L86" s="40"/>
      <c r="M86" s="40"/>
      <c r="N86" s="40"/>
      <c r="O86" s="40"/>
      <c r="P86" s="40"/>
      <c r="Q86" s="40"/>
      <c r="R86" s="40"/>
    </row>
    <row r="87" spans="5:18" x14ac:dyDescent="0.25">
      <c r="E87" s="51"/>
    </row>
    <row r="88" spans="5:18" x14ac:dyDescent="0.25">
      <c r="E88" s="51"/>
    </row>
    <row r="89" spans="5:18" x14ac:dyDescent="0.25">
      <c r="E89" s="51"/>
    </row>
  </sheetData>
  <mergeCells count="2">
    <mergeCell ref="B2:D2"/>
    <mergeCell ref="B34:C34"/>
  </mergeCells>
  <phoneticPr fontId="22" type="noConversion"/>
  <pageMargins left="0.45" right="0.45" top="0.25" bottom="0.25" header="0.3" footer="0.3"/>
  <pageSetup paperSize="3" scale="69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76"/>
  <sheetViews>
    <sheetView showGridLines="0" workbookViewId="0">
      <selection activeCell="D5" sqref="D5"/>
    </sheetView>
  </sheetViews>
  <sheetFormatPr defaultColWidth="10.36328125" defaultRowHeight="15.5" x14ac:dyDescent="0.35"/>
  <cols>
    <col min="1" max="1" width="2.81640625" style="3" customWidth="1"/>
    <col min="2" max="3" width="9.81640625" style="3" customWidth="1"/>
    <col min="4" max="4" width="18.453125" style="3" customWidth="1"/>
    <col min="5" max="7" width="15.81640625" style="3" customWidth="1"/>
    <col min="8" max="8" width="16.26953125" style="3" bestFit="1" customWidth="1"/>
    <col min="9" max="9" width="15.81640625" style="3" customWidth="1"/>
    <col min="10" max="10" width="10.36328125" style="3"/>
    <col min="11" max="11" width="14.36328125" style="3" bestFit="1" customWidth="1"/>
    <col min="12" max="12" width="15.1796875" style="3" customWidth="1"/>
    <col min="13" max="13" width="12.81640625" style="3" bestFit="1" customWidth="1"/>
    <col min="14" max="14" width="15.36328125" style="3" bestFit="1" customWidth="1"/>
    <col min="15" max="16384" width="10.36328125" style="3"/>
  </cols>
  <sheetData>
    <row r="1" spans="2:16" ht="16" thickBot="1" x14ac:dyDescent="0.4"/>
    <row r="2" spans="2:16" x14ac:dyDescent="0.35">
      <c r="B2" s="67" t="s">
        <v>54</v>
      </c>
      <c r="C2" s="68"/>
      <c r="D2" s="69"/>
    </row>
    <row r="3" spans="2:16" x14ac:dyDescent="0.35">
      <c r="B3" s="4" t="s">
        <v>40</v>
      </c>
      <c r="C3" s="58"/>
      <c r="D3" s="70">
        <v>23000000</v>
      </c>
    </row>
    <row r="4" spans="2:16" x14ac:dyDescent="0.35">
      <c r="B4" s="4" t="s">
        <v>41</v>
      </c>
      <c r="C4" s="58"/>
      <c r="D4" s="71">
        <v>4.3299999999999998E-2</v>
      </c>
    </row>
    <row r="5" spans="2:16" x14ac:dyDescent="0.35">
      <c r="B5" s="4" t="s">
        <v>42</v>
      </c>
      <c r="C5" s="58"/>
      <c r="D5" s="72">
        <v>10</v>
      </c>
    </row>
    <row r="6" spans="2:16" x14ac:dyDescent="0.35">
      <c r="B6" s="4" t="s">
        <v>43</v>
      </c>
      <c r="C6" s="58"/>
      <c r="D6" s="72">
        <f>'Pro Forma_BLANK'!C29</f>
        <v>30</v>
      </c>
    </row>
    <row r="7" spans="2:16" x14ac:dyDescent="0.35">
      <c r="B7" s="4" t="s">
        <v>44</v>
      </c>
      <c r="C7" s="58"/>
      <c r="D7" s="73">
        <f>'Pro Forma_BLANK'!C30</f>
        <v>114225.95765300129</v>
      </c>
    </row>
    <row r="8" spans="2:16" ht="16" thickBot="1" x14ac:dyDescent="0.4">
      <c r="B8" s="5" t="s">
        <v>45</v>
      </c>
      <c r="C8" s="6"/>
      <c r="D8" s="74">
        <f>D7*12</f>
        <v>1370711.4918360154</v>
      </c>
    </row>
    <row r="9" spans="2:16" x14ac:dyDescent="0.35">
      <c r="B9" s="58"/>
      <c r="C9" s="58"/>
      <c r="D9" s="59"/>
    </row>
    <row r="10" spans="2:16" x14ac:dyDescent="0.35">
      <c r="B10" s="58"/>
      <c r="C10" s="58"/>
      <c r="D10" s="59"/>
      <c r="J10" s="82"/>
    </row>
    <row r="11" spans="2:16" x14ac:dyDescent="0.35">
      <c r="B11" s="83" t="s">
        <v>81</v>
      </c>
      <c r="C11" s="58"/>
      <c r="D11" s="59"/>
      <c r="J11" s="82" t="s">
        <v>80</v>
      </c>
    </row>
    <row r="12" spans="2:16" x14ac:dyDescent="0.35">
      <c r="D12" s="57"/>
      <c r="F12" s="114" t="s">
        <v>101</v>
      </c>
      <c r="G12" s="114"/>
    </row>
    <row r="13" spans="2:16" ht="31" x14ac:dyDescent="0.35">
      <c r="B13" s="64" t="s">
        <v>76</v>
      </c>
      <c r="C13" s="65" t="s">
        <v>72</v>
      </c>
      <c r="D13" s="65" t="s">
        <v>77</v>
      </c>
      <c r="E13" s="65" t="s">
        <v>79</v>
      </c>
      <c r="F13" s="65" t="s">
        <v>47</v>
      </c>
      <c r="G13" s="65" t="s">
        <v>48</v>
      </c>
      <c r="H13" s="66" t="s">
        <v>78</v>
      </c>
      <c r="J13" s="64" t="s">
        <v>72</v>
      </c>
      <c r="K13" s="65" t="s">
        <v>79</v>
      </c>
      <c r="L13" s="65" t="s">
        <v>47</v>
      </c>
      <c r="M13" s="65" t="s">
        <v>48</v>
      </c>
      <c r="N13" s="66" t="s">
        <v>78</v>
      </c>
    </row>
    <row r="14" spans="2:16" x14ac:dyDescent="0.35">
      <c r="B14" s="7"/>
      <c r="C14" s="63"/>
      <c r="D14" s="63"/>
      <c r="E14" s="63"/>
      <c r="F14" s="63"/>
      <c r="G14" s="63"/>
      <c r="H14" s="8">
        <f>D3</f>
        <v>23000000</v>
      </c>
      <c r="J14" s="80"/>
      <c r="K14" s="63"/>
      <c r="L14" s="63"/>
      <c r="M14" s="63"/>
      <c r="N14" s="81"/>
    </row>
    <row r="15" spans="2:16" x14ac:dyDescent="0.35">
      <c r="B15" s="9">
        <v>1</v>
      </c>
      <c r="C15" s="60">
        <v>1</v>
      </c>
      <c r="D15" s="61">
        <f>H14</f>
        <v>23000000</v>
      </c>
      <c r="E15" s="62">
        <f>$D$7</f>
        <v>114225.95765300129</v>
      </c>
      <c r="F15" s="103">
        <f>D15*($D$4/12)</f>
        <v>82991.666666666657</v>
      </c>
      <c r="G15" s="103">
        <f>E15-F15</f>
        <v>31234.290986334629</v>
      </c>
      <c r="H15" s="10">
        <f>D15-G15</f>
        <v>22968765.709013667</v>
      </c>
      <c r="J15" s="76">
        <v>1</v>
      </c>
      <c r="K15" s="61">
        <f>SUMIF($C$15:$C$374,$J15,$E$15:$E$374)</f>
        <v>1370711.4918360151</v>
      </c>
      <c r="L15" s="62">
        <f>SUMIF($C$15:$C$374,$J15,$F$15:$F$374)</f>
        <v>988371.35504187376</v>
      </c>
      <c r="M15" s="75">
        <f>SUMIF($C$15:$C$374,$J15,$G$15:$G$374)</f>
        <v>382340.13679414173</v>
      </c>
      <c r="N15" s="77">
        <f>VLOOKUP(P15,$B$15:$H$374,7,FALSE)</f>
        <v>22617659.863205865</v>
      </c>
      <c r="P15" s="3">
        <f>J15*12</f>
        <v>12</v>
      </c>
    </row>
    <row r="16" spans="2:16" x14ac:dyDescent="0.35">
      <c r="B16" s="9">
        <f>B15+1</f>
        <v>2</v>
      </c>
      <c r="C16" s="60">
        <v>1</v>
      </c>
      <c r="D16" s="61">
        <f t="shared" ref="D16:D79" si="0">H15</f>
        <v>22968765.709013667</v>
      </c>
      <c r="E16" s="62">
        <f t="shared" ref="E16:E79" si="1">$D$7</f>
        <v>114225.95765300129</v>
      </c>
      <c r="F16" s="103">
        <f t="shared" ref="F16:F79" si="2">D16*($D$4/12)</f>
        <v>82878.962933357645</v>
      </c>
      <c r="G16" s="103">
        <f>E16-F16</f>
        <v>31346.994719643641</v>
      </c>
      <c r="H16" s="10">
        <f t="shared" ref="H16:H79" si="3">D16-G16</f>
        <v>22937418.714294024</v>
      </c>
      <c r="J16" s="76">
        <f>J15+1</f>
        <v>2</v>
      </c>
      <c r="K16" s="61">
        <f t="shared" ref="K16:K44" si="4">SUMIF($C$15:$C$374,$J16,$E$15:$E$374)</f>
        <v>1370711.4918360151</v>
      </c>
      <c r="L16" s="62">
        <f t="shared" ref="L16:L44" si="5">SUMIF($C$15:$C$374,$J16,$F$15:$F$374)</f>
        <v>971483.48879258556</v>
      </c>
      <c r="M16" s="75">
        <f t="shared" ref="M16:M44" si="6">SUMIF($C$15:$C$374,$J16,$G$15:$G$374)</f>
        <v>399228.00304343004</v>
      </c>
      <c r="N16" s="77">
        <f t="shared" ref="N16:N44" si="7">VLOOKUP(P16,$B$15:$H$374,7,FALSE)</f>
        <v>22218431.860162437</v>
      </c>
      <c r="P16" s="3">
        <f t="shared" ref="P16:P44" si="8">J16*12</f>
        <v>24</v>
      </c>
    </row>
    <row r="17" spans="2:16" x14ac:dyDescent="0.35">
      <c r="B17" s="9">
        <f t="shared" ref="B17:B80" si="9">B16+1</f>
        <v>3</v>
      </c>
      <c r="C17" s="60">
        <v>1</v>
      </c>
      <c r="D17" s="61">
        <f t="shared" si="0"/>
        <v>22937418.714294024</v>
      </c>
      <c r="E17" s="62">
        <f t="shared" si="1"/>
        <v>114225.95765300129</v>
      </c>
      <c r="F17" s="103">
        <f t="shared" si="2"/>
        <v>82765.852527410927</v>
      </c>
      <c r="G17" s="103">
        <f t="shared" ref="G17:G80" si="10">E17-F17</f>
        <v>31460.105125590359</v>
      </c>
      <c r="H17" s="10">
        <f t="shared" si="3"/>
        <v>22905958.609168433</v>
      </c>
      <c r="J17" s="76">
        <f t="shared" ref="J17:J44" si="11">J16+1</f>
        <v>3</v>
      </c>
      <c r="K17" s="61">
        <f t="shared" si="4"/>
        <v>1370711.4918360151</v>
      </c>
      <c r="L17" s="62">
        <f t="shared" si="5"/>
        <v>953849.68980171962</v>
      </c>
      <c r="M17" s="75">
        <f t="shared" si="6"/>
        <v>416861.80203429575</v>
      </c>
      <c r="N17" s="77">
        <f t="shared" si="7"/>
        <v>21801570.058128141</v>
      </c>
      <c r="P17" s="3">
        <f t="shared" si="8"/>
        <v>36</v>
      </c>
    </row>
    <row r="18" spans="2:16" x14ac:dyDescent="0.35">
      <c r="B18" s="9">
        <f t="shared" si="9"/>
        <v>4</v>
      </c>
      <c r="C18" s="60">
        <v>1</v>
      </c>
      <c r="D18" s="61">
        <f t="shared" si="0"/>
        <v>22905958.609168433</v>
      </c>
      <c r="E18" s="62">
        <f t="shared" si="1"/>
        <v>114225.95765300129</v>
      </c>
      <c r="F18" s="103">
        <f t="shared" si="2"/>
        <v>82652.333981416086</v>
      </c>
      <c r="G18" s="103">
        <f t="shared" si="10"/>
        <v>31573.623671585199</v>
      </c>
      <c r="H18" s="10">
        <f t="shared" si="3"/>
        <v>22874384.985496849</v>
      </c>
      <c r="J18" s="76">
        <f t="shared" si="11"/>
        <v>4</v>
      </c>
      <c r="K18" s="61">
        <f t="shared" si="4"/>
        <v>1370711.4918360151</v>
      </c>
      <c r="L18" s="62">
        <f t="shared" si="5"/>
        <v>935437.01041048171</v>
      </c>
      <c r="M18" s="75">
        <f t="shared" si="6"/>
        <v>435274.48142553365</v>
      </c>
      <c r="N18" s="77">
        <f t="shared" si="7"/>
        <v>21366295.576702613</v>
      </c>
      <c r="P18" s="3">
        <f t="shared" si="8"/>
        <v>48</v>
      </c>
    </row>
    <row r="19" spans="2:16" x14ac:dyDescent="0.35">
      <c r="B19" s="9">
        <f t="shared" si="9"/>
        <v>5</v>
      </c>
      <c r="C19" s="60">
        <v>1</v>
      </c>
      <c r="D19" s="61">
        <f t="shared" si="0"/>
        <v>22874384.985496849</v>
      </c>
      <c r="E19" s="62">
        <f t="shared" si="1"/>
        <v>114225.95765300129</v>
      </c>
      <c r="F19" s="103">
        <f t="shared" si="2"/>
        <v>82538.405822667788</v>
      </c>
      <c r="G19" s="103">
        <f t="shared" si="10"/>
        <v>31687.551830333497</v>
      </c>
      <c r="H19" s="10">
        <f t="shared" si="3"/>
        <v>22842697.433666516</v>
      </c>
      <c r="J19" s="76">
        <f t="shared" si="11"/>
        <v>5</v>
      </c>
      <c r="K19" s="61">
        <f t="shared" si="4"/>
        <v>1370711.4918360151</v>
      </c>
      <c r="L19" s="62">
        <f t="shared" si="5"/>
        <v>916211.04767039767</v>
      </c>
      <c r="M19" s="75">
        <f t="shared" si="6"/>
        <v>454500.44416561764</v>
      </c>
      <c r="N19" s="77">
        <f t="shared" si="7"/>
        <v>20911795.132536996</v>
      </c>
      <c r="P19" s="3">
        <f t="shared" si="8"/>
        <v>60</v>
      </c>
    </row>
    <row r="20" spans="2:16" x14ac:dyDescent="0.35">
      <c r="B20" s="9">
        <f t="shared" si="9"/>
        <v>6</v>
      </c>
      <c r="C20" s="60">
        <v>1</v>
      </c>
      <c r="D20" s="61">
        <f t="shared" si="0"/>
        <v>22842697.433666516</v>
      </c>
      <c r="E20" s="62">
        <f t="shared" si="1"/>
        <v>114225.95765300129</v>
      </c>
      <c r="F20" s="103">
        <f t="shared" si="2"/>
        <v>82424.066573146672</v>
      </c>
      <c r="G20" s="103">
        <f t="shared" si="10"/>
        <v>31801.891079854613</v>
      </c>
      <c r="H20" s="10">
        <f t="shared" si="3"/>
        <v>22810895.542586662</v>
      </c>
      <c r="J20" s="76">
        <f t="shared" si="11"/>
        <v>6</v>
      </c>
      <c r="K20" s="61">
        <f t="shared" si="4"/>
        <v>1370711.4918360151</v>
      </c>
      <c r="L20" s="62">
        <f t="shared" si="5"/>
        <v>896135.87906354107</v>
      </c>
      <c r="M20" s="75">
        <f t="shared" si="6"/>
        <v>474575.61277247441</v>
      </c>
      <c r="N20" s="77">
        <f t="shared" si="7"/>
        <v>20437219.519764531</v>
      </c>
      <c r="P20" s="3">
        <f t="shared" si="8"/>
        <v>72</v>
      </c>
    </row>
    <row r="21" spans="2:16" x14ac:dyDescent="0.35">
      <c r="B21" s="9">
        <f t="shared" si="9"/>
        <v>7</v>
      </c>
      <c r="C21" s="60">
        <v>1</v>
      </c>
      <c r="D21" s="61">
        <f t="shared" si="0"/>
        <v>22810895.542586662</v>
      </c>
      <c r="E21" s="62">
        <f t="shared" si="1"/>
        <v>114225.95765300129</v>
      </c>
      <c r="F21" s="103">
        <f t="shared" si="2"/>
        <v>82309.314749500205</v>
      </c>
      <c r="G21" s="103">
        <f t="shared" si="10"/>
        <v>31916.642903501081</v>
      </c>
      <c r="H21" s="10">
        <f t="shared" si="3"/>
        <v>22778978.899683163</v>
      </c>
      <c r="J21" s="76">
        <f t="shared" si="11"/>
        <v>7</v>
      </c>
      <c r="K21" s="61">
        <f t="shared" si="4"/>
        <v>1370711.4918360151</v>
      </c>
      <c r="L21" s="62">
        <f t="shared" si="5"/>
        <v>875173.99538353691</v>
      </c>
      <c r="M21" s="75">
        <f t="shared" si="6"/>
        <v>495537.49645247863</v>
      </c>
      <c r="N21" s="77">
        <f t="shared" si="7"/>
        <v>19941682.023312051</v>
      </c>
      <c r="P21" s="3">
        <f t="shared" si="8"/>
        <v>84</v>
      </c>
    </row>
    <row r="22" spans="2:16" x14ac:dyDescent="0.35">
      <c r="B22" s="9">
        <f t="shared" si="9"/>
        <v>8</v>
      </c>
      <c r="C22" s="60">
        <v>1</v>
      </c>
      <c r="D22" s="61">
        <f t="shared" si="0"/>
        <v>22778978.899683163</v>
      </c>
      <c r="E22" s="62">
        <f t="shared" si="1"/>
        <v>114225.95765300129</v>
      </c>
      <c r="F22" s="103">
        <f t="shared" si="2"/>
        <v>82194.148863023409</v>
      </c>
      <c r="G22" s="103">
        <f t="shared" si="10"/>
        <v>32031.808789977877</v>
      </c>
      <c r="H22" s="10">
        <f t="shared" si="3"/>
        <v>22746947.090893183</v>
      </c>
      <c r="J22" s="76">
        <f t="shared" si="11"/>
        <v>8</v>
      </c>
      <c r="K22" s="61">
        <f t="shared" si="4"/>
        <v>1370711.4918360151</v>
      </c>
      <c r="L22" s="62">
        <f t="shared" si="5"/>
        <v>853286.23065193987</v>
      </c>
      <c r="M22" s="75">
        <f t="shared" si="6"/>
        <v>517425.2611840755</v>
      </c>
      <c r="N22" s="77">
        <f t="shared" si="7"/>
        <v>19424256.762127981</v>
      </c>
      <c r="P22" s="3">
        <f t="shared" si="8"/>
        <v>96</v>
      </c>
    </row>
    <row r="23" spans="2:16" x14ac:dyDescent="0.35">
      <c r="B23" s="9">
        <f t="shared" si="9"/>
        <v>9</v>
      </c>
      <c r="C23" s="60">
        <v>1</v>
      </c>
      <c r="D23" s="61">
        <f t="shared" si="0"/>
        <v>22746947.090893183</v>
      </c>
      <c r="E23" s="62">
        <f t="shared" si="1"/>
        <v>114225.95765300129</v>
      </c>
      <c r="F23" s="103">
        <f t="shared" si="2"/>
        <v>82078.56741963957</v>
      </c>
      <c r="G23" s="103">
        <f t="shared" si="10"/>
        <v>32147.390233361715</v>
      </c>
      <c r="H23" s="10">
        <f t="shared" si="3"/>
        <v>22714799.700659823</v>
      </c>
      <c r="J23" s="76">
        <f t="shared" si="11"/>
        <v>9</v>
      </c>
      <c r="K23" s="61">
        <f t="shared" si="4"/>
        <v>1370711.4918360151</v>
      </c>
      <c r="L23" s="62">
        <f t="shared" si="5"/>
        <v>830431.68893903412</v>
      </c>
      <c r="M23" s="75">
        <f t="shared" si="6"/>
        <v>540279.80289698124</v>
      </c>
      <c r="N23" s="77">
        <f t="shared" si="7"/>
        <v>18883976.959231</v>
      </c>
      <c r="P23" s="3">
        <f t="shared" si="8"/>
        <v>108</v>
      </c>
    </row>
    <row r="24" spans="2:16" x14ac:dyDescent="0.35">
      <c r="B24" s="9">
        <f t="shared" si="9"/>
        <v>10</v>
      </c>
      <c r="C24" s="60">
        <v>1</v>
      </c>
      <c r="D24" s="61">
        <f t="shared" si="0"/>
        <v>22714799.700659823</v>
      </c>
      <c r="E24" s="62">
        <f t="shared" si="1"/>
        <v>114225.95765300129</v>
      </c>
      <c r="F24" s="103">
        <f t="shared" si="2"/>
        <v>81962.568919880854</v>
      </c>
      <c r="G24" s="103">
        <f t="shared" si="10"/>
        <v>32263.388733120431</v>
      </c>
      <c r="H24" s="10">
        <f t="shared" si="3"/>
        <v>22682536.311926704</v>
      </c>
      <c r="J24" s="76">
        <f t="shared" si="11"/>
        <v>10</v>
      </c>
      <c r="K24" s="61">
        <f t="shared" si="4"/>
        <v>1370711.4918360151</v>
      </c>
      <c r="L24" s="62">
        <f t="shared" si="5"/>
        <v>806567.66795232601</v>
      </c>
      <c r="M24" s="75">
        <f t="shared" si="6"/>
        <v>564143.82388368924</v>
      </c>
      <c r="N24" s="77">
        <f t="shared" si="7"/>
        <v>18319833.13534731</v>
      </c>
      <c r="P24" s="3">
        <f t="shared" si="8"/>
        <v>120</v>
      </c>
    </row>
    <row r="25" spans="2:16" x14ac:dyDescent="0.35">
      <c r="B25" s="9">
        <f t="shared" si="9"/>
        <v>11</v>
      </c>
      <c r="C25" s="60">
        <v>1</v>
      </c>
      <c r="D25" s="61">
        <f t="shared" si="0"/>
        <v>22682536.311926704</v>
      </c>
      <c r="E25" s="62">
        <f t="shared" si="1"/>
        <v>114225.95765300129</v>
      </c>
      <c r="F25" s="103">
        <f t="shared" si="2"/>
        <v>81846.151858868849</v>
      </c>
      <c r="G25" s="103">
        <f t="shared" si="10"/>
        <v>32379.805794132437</v>
      </c>
      <c r="H25" s="10">
        <f t="shared" si="3"/>
        <v>22650156.506132573</v>
      </c>
      <c r="J25" s="76">
        <f t="shared" si="11"/>
        <v>11</v>
      </c>
      <c r="K25" s="61">
        <f t="shared" si="4"/>
        <v>1370711.4918360151</v>
      </c>
      <c r="L25" s="62">
        <f t="shared" si="5"/>
        <v>781649.5792499634</v>
      </c>
      <c r="M25" s="75">
        <f t="shared" si="6"/>
        <v>589061.91258605209</v>
      </c>
      <c r="N25" s="77">
        <f t="shared" si="7"/>
        <v>17730771.222761258</v>
      </c>
      <c r="P25" s="3">
        <f t="shared" si="8"/>
        <v>132</v>
      </c>
    </row>
    <row r="26" spans="2:16" x14ac:dyDescent="0.35">
      <c r="B26" s="9">
        <f t="shared" si="9"/>
        <v>12</v>
      </c>
      <c r="C26" s="60">
        <v>1</v>
      </c>
      <c r="D26" s="61">
        <f t="shared" si="0"/>
        <v>22650156.506132573</v>
      </c>
      <c r="E26" s="62">
        <f t="shared" si="1"/>
        <v>114225.95765300129</v>
      </c>
      <c r="F26" s="103">
        <f t="shared" si="2"/>
        <v>81729.314726295037</v>
      </c>
      <c r="G26" s="103">
        <f t="shared" si="10"/>
        <v>32496.642926706249</v>
      </c>
      <c r="H26" s="10">
        <f t="shared" si="3"/>
        <v>22617659.863205865</v>
      </c>
      <c r="J26" s="76">
        <f t="shared" si="11"/>
        <v>12</v>
      </c>
      <c r="K26" s="61">
        <f t="shared" si="4"/>
        <v>1370711.4918360151</v>
      </c>
      <c r="L26" s="62">
        <f t="shared" si="5"/>
        <v>755630.86492999771</v>
      </c>
      <c r="M26" s="75">
        <f t="shared" si="6"/>
        <v>615080.62690601766</v>
      </c>
      <c r="N26" s="77">
        <f t="shared" si="7"/>
        <v>17115690.59585524</v>
      </c>
      <c r="P26" s="3">
        <f t="shared" si="8"/>
        <v>144</v>
      </c>
    </row>
    <row r="27" spans="2:16" x14ac:dyDescent="0.35">
      <c r="B27" s="9">
        <f t="shared" si="9"/>
        <v>13</v>
      </c>
      <c r="C27" s="60">
        <f>C15+1</f>
        <v>2</v>
      </c>
      <c r="D27" s="61">
        <f t="shared" si="0"/>
        <v>22617659.863205865</v>
      </c>
      <c r="E27" s="62">
        <f t="shared" si="1"/>
        <v>114225.95765300129</v>
      </c>
      <c r="F27" s="103">
        <f t="shared" si="2"/>
        <v>81612.056006401166</v>
      </c>
      <c r="G27" s="103">
        <f t="shared" si="10"/>
        <v>32613.901646600119</v>
      </c>
      <c r="H27" s="10">
        <f t="shared" si="3"/>
        <v>22585045.961559266</v>
      </c>
      <c r="J27" s="76">
        <f t="shared" si="11"/>
        <v>13</v>
      </c>
      <c r="K27" s="61">
        <f t="shared" si="4"/>
        <v>1370711.4918360151</v>
      </c>
      <c r="L27" s="62">
        <f t="shared" si="5"/>
        <v>728462.91063983599</v>
      </c>
      <c r="M27" s="75">
        <f t="shared" si="6"/>
        <v>642248.58119617915</v>
      </c>
      <c r="N27" s="77">
        <f t="shared" si="7"/>
        <v>16473442.014659062</v>
      </c>
      <c r="P27" s="3">
        <f t="shared" si="8"/>
        <v>156</v>
      </c>
    </row>
    <row r="28" spans="2:16" x14ac:dyDescent="0.35">
      <c r="B28" s="9">
        <f t="shared" si="9"/>
        <v>14</v>
      </c>
      <c r="C28" s="60">
        <f t="shared" ref="C28:C91" si="12">C16+1</f>
        <v>2</v>
      </c>
      <c r="D28" s="61">
        <f t="shared" si="0"/>
        <v>22585045.961559266</v>
      </c>
      <c r="E28" s="62">
        <f t="shared" si="1"/>
        <v>114225.95765300129</v>
      </c>
      <c r="F28" s="103">
        <f t="shared" si="2"/>
        <v>81494.374177959675</v>
      </c>
      <c r="G28" s="103">
        <f t="shared" si="10"/>
        <v>32731.583475041611</v>
      </c>
      <c r="H28" s="10">
        <f t="shared" si="3"/>
        <v>22552314.378084224</v>
      </c>
      <c r="J28" s="76">
        <f t="shared" si="11"/>
        <v>14</v>
      </c>
      <c r="K28" s="61">
        <f t="shared" si="4"/>
        <v>1370711.4918360151</v>
      </c>
      <c r="L28" s="62">
        <f t="shared" si="5"/>
        <v>700094.95474334038</v>
      </c>
      <c r="M28" s="75">
        <f t="shared" si="6"/>
        <v>670616.53709267522</v>
      </c>
      <c r="N28" s="77">
        <f t="shared" si="7"/>
        <v>15802825.477566388</v>
      </c>
      <c r="P28" s="3">
        <f t="shared" si="8"/>
        <v>168</v>
      </c>
    </row>
    <row r="29" spans="2:16" x14ac:dyDescent="0.35">
      <c r="B29" s="9">
        <f t="shared" si="9"/>
        <v>15</v>
      </c>
      <c r="C29" s="60">
        <f t="shared" si="12"/>
        <v>2</v>
      </c>
      <c r="D29" s="61">
        <f t="shared" si="0"/>
        <v>22552314.378084224</v>
      </c>
      <c r="E29" s="62">
        <f t="shared" si="1"/>
        <v>114225.95765300129</v>
      </c>
      <c r="F29" s="103">
        <f t="shared" si="2"/>
        <v>81376.267714253903</v>
      </c>
      <c r="G29" s="103">
        <f t="shared" si="10"/>
        <v>32849.689938747382</v>
      </c>
      <c r="H29" s="10">
        <f t="shared" si="3"/>
        <v>22519464.688145477</v>
      </c>
      <c r="J29" s="76">
        <f t="shared" si="11"/>
        <v>15</v>
      </c>
      <c r="K29" s="61">
        <f t="shared" si="4"/>
        <v>1370711.4918360151</v>
      </c>
      <c r="L29" s="62">
        <f t="shared" si="5"/>
        <v>670473.99347586045</v>
      </c>
      <c r="M29" s="75">
        <f t="shared" si="6"/>
        <v>700237.49836015468</v>
      </c>
      <c r="N29" s="77">
        <f t="shared" si="7"/>
        <v>15102587.97920623</v>
      </c>
      <c r="P29" s="3">
        <f t="shared" si="8"/>
        <v>180</v>
      </c>
    </row>
    <row r="30" spans="2:16" x14ac:dyDescent="0.35">
      <c r="B30" s="9">
        <f t="shared" si="9"/>
        <v>16</v>
      </c>
      <c r="C30" s="60">
        <f t="shared" si="12"/>
        <v>2</v>
      </c>
      <c r="D30" s="61">
        <f t="shared" si="0"/>
        <v>22519464.688145477</v>
      </c>
      <c r="E30" s="62">
        <f t="shared" si="1"/>
        <v>114225.95765300129</v>
      </c>
      <c r="F30" s="103">
        <f t="shared" si="2"/>
        <v>81257.735083058258</v>
      </c>
      <c r="G30" s="103">
        <f t="shared" si="10"/>
        <v>32968.222569943027</v>
      </c>
      <c r="H30" s="10">
        <f t="shared" si="3"/>
        <v>22486496.465575535</v>
      </c>
      <c r="J30" s="76">
        <f t="shared" si="11"/>
        <v>16</v>
      </c>
      <c r="K30" s="61">
        <f t="shared" si="4"/>
        <v>1370711.4918360151</v>
      </c>
      <c r="L30" s="62">
        <f t="shared" si="5"/>
        <v>639544.68190999213</v>
      </c>
      <c r="M30" s="75">
        <f t="shared" si="6"/>
        <v>731166.80992602336</v>
      </c>
      <c r="N30" s="77">
        <f t="shared" si="7"/>
        <v>14371421.169280205</v>
      </c>
      <c r="P30" s="3">
        <f t="shared" si="8"/>
        <v>192</v>
      </c>
    </row>
    <row r="31" spans="2:16" x14ac:dyDescent="0.35">
      <c r="B31" s="9">
        <f t="shared" si="9"/>
        <v>17</v>
      </c>
      <c r="C31" s="60">
        <f t="shared" si="12"/>
        <v>2</v>
      </c>
      <c r="D31" s="61">
        <f t="shared" si="0"/>
        <v>22486496.465575535</v>
      </c>
      <c r="E31" s="62">
        <f t="shared" si="1"/>
        <v>114225.95765300129</v>
      </c>
      <c r="F31" s="103">
        <f t="shared" si="2"/>
        <v>81138.774746618379</v>
      </c>
      <c r="G31" s="103">
        <f t="shared" si="10"/>
        <v>33087.182906382906</v>
      </c>
      <c r="H31" s="10">
        <f t="shared" si="3"/>
        <v>22453409.282669153</v>
      </c>
      <c r="J31" s="76">
        <f t="shared" si="11"/>
        <v>17</v>
      </c>
      <c r="K31" s="61">
        <f t="shared" si="4"/>
        <v>1370711.4918360151</v>
      </c>
      <c r="L31" s="62">
        <f t="shared" si="5"/>
        <v>607249.23054701393</v>
      </c>
      <c r="M31" s="75">
        <f t="shared" si="6"/>
        <v>763462.26128900156</v>
      </c>
      <c r="N31" s="77">
        <f t="shared" si="7"/>
        <v>13607958.907991206</v>
      </c>
      <c r="P31" s="3">
        <f t="shared" si="8"/>
        <v>204</v>
      </c>
    </row>
    <row r="32" spans="2:16" x14ac:dyDescent="0.35">
      <c r="B32" s="9">
        <f t="shared" si="9"/>
        <v>18</v>
      </c>
      <c r="C32" s="60">
        <f t="shared" si="12"/>
        <v>2</v>
      </c>
      <c r="D32" s="61">
        <f t="shared" si="0"/>
        <v>22453409.282669153</v>
      </c>
      <c r="E32" s="62">
        <f t="shared" si="1"/>
        <v>114225.95765300129</v>
      </c>
      <c r="F32" s="103">
        <f t="shared" si="2"/>
        <v>81019.385161631188</v>
      </c>
      <c r="G32" s="103">
        <f t="shared" si="10"/>
        <v>33206.572491370098</v>
      </c>
      <c r="H32" s="10">
        <f t="shared" si="3"/>
        <v>22420202.710177783</v>
      </c>
      <c r="J32" s="76">
        <f t="shared" si="11"/>
        <v>18</v>
      </c>
      <c r="K32" s="61">
        <f t="shared" si="4"/>
        <v>1370711.4918360151</v>
      </c>
      <c r="L32" s="62">
        <f t="shared" si="5"/>
        <v>573527.29734079656</v>
      </c>
      <c r="M32" s="75">
        <f t="shared" si="6"/>
        <v>797184.19449521881</v>
      </c>
      <c r="N32" s="77">
        <f t="shared" si="7"/>
        <v>12810774.713495987</v>
      </c>
      <c r="P32" s="3">
        <f t="shared" si="8"/>
        <v>216</v>
      </c>
    </row>
    <row r="33" spans="2:16" x14ac:dyDescent="0.35">
      <c r="B33" s="9">
        <f t="shared" si="9"/>
        <v>19</v>
      </c>
      <c r="C33" s="60">
        <f t="shared" si="12"/>
        <v>2</v>
      </c>
      <c r="D33" s="61">
        <f t="shared" si="0"/>
        <v>22420202.710177783</v>
      </c>
      <c r="E33" s="62">
        <f t="shared" si="1"/>
        <v>114225.95765300129</v>
      </c>
      <c r="F33" s="103">
        <f t="shared" si="2"/>
        <v>80899.564779224835</v>
      </c>
      <c r="G33" s="103">
        <f t="shared" si="10"/>
        <v>33326.392873776451</v>
      </c>
      <c r="H33" s="10">
        <f t="shared" si="3"/>
        <v>22386876.317304008</v>
      </c>
      <c r="J33" s="76">
        <f t="shared" si="11"/>
        <v>19</v>
      </c>
      <c r="K33" s="61">
        <f t="shared" si="4"/>
        <v>1370711.4918360151</v>
      </c>
      <c r="L33" s="62">
        <f t="shared" si="5"/>
        <v>538315.87495243596</v>
      </c>
      <c r="M33" s="75">
        <f t="shared" si="6"/>
        <v>832395.61688357941</v>
      </c>
      <c r="N33" s="77">
        <f t="shared" si="7"/>
        <v>11978379.096612409</v>
      </c>
      <c r="P33" s="3">
        <f t="shared" si="8"/>
        <v>228</v>
      </c>
    </row>
    <row r="34" spans="2:16" x14ac:dyDescent="0.35">
      <c r="B34" s="9">
        <f t="shared" si="9"/>
        <v>20</v>
      </c>
      <c r="C34" s="60">
        <f t="shared" si="12"/>
        <v>2</v>
      </c>
      <c r="D34" s="61">
        <f t="shared" si="0"/>
        <v>22386876.317304008</v>
      </c>
      <c r="E34" s="62">
        <f t="shared" si="1"/>
        <v>114225.95765300129</v>
      </c>
      <c r="F34" s="103">
        <f t="shared" si="2"/>
        <v>80779.312044938619</v>
      </c>
      <c r="G34" s="103">
        <f t="shared" si="10"/>
        <v>33446.645608062667</v>
      </c>
      <c r="H34" s="10">
        <f t="shared" si="3"/>
        <v>22353429.671695944</v>
      </c>
      <c r="J34" s="76">
        <f t="shared" si="11"/>
        <v>20</v>
      </c>
      <c r="K34" s="61">
        <f t="shared" si="4"/>
        <v>1370711.4918360151</v>
      </c>
      <c r="L34" s="62">
        <f t="shared" si="5"/>
        <v>501549.17302495142</v>
      </c>
      <c r="M34" s="75">
        <f t="shared" si="6"/>
        <v>869162.31881106412</v>
      </c>
      <c r="N34" s="77">
        <f t="shared" si="7"/>
        <v>11109216.777801346</v>
      </c>
      <c r="P34" s="3">
        <f t="shared" si="8"/>
        <v>240</v>
      </c>
    </row>
    <row r="35" spans="2:16" x14ac:dyDescent="0.35">
      <c r="B35" s="9">
        <f t="shared" si="9"/>
        <v>21</v>
      </c>
      <c r="C35" s="60">
        <f t="shared" si="12"/>
        <v>2</v>
      </c>
      <c r="D35" s="61">
        <f t="shared" si="0"/>
        <v>22353429.671695944</v>
      </c>
      <c r="E35" s="62">
        <f t="shared" si="1"/>
        <v>114225.95765300129</v>
      </c>
      <c r="F35" s="103">
        <f t="shared" si="2"/>
        <v>80658.625398702861</v>
      </c>
      <c r="G35" s="103">
        <f t="shared" si="10"/>
        <v>33567.332254298424</v>
      </c>
      <c r="H35" s="10">
        <f t="shared" si="3"/>
        <v>22319862.339441646</v>
      </c>
      <c r="J35" s="76">
        <f t="shared" si="11"/>
        <v>21</v>
      </c>
      <c r="K35" s="61">
        <f t="shared" si="4"/>
        <v>1370711.4918360151</v>
      </c>
      <c r="L35" s="62">
        <f t="shared" si="5"/>
        <v>463158.49525808706</v>
      </c>
      <c r="M35" s="75">
        <f t="shared" si="6"/>
        <v>907552.99657792842</v>
      </c>
      <c r="N35" s="77">
        <f t="shared" si="7"/>
        <v>10201663.781223418</v>
      </c>
      <c r="P35" s="3">
        <f t="shared" si="8"/>
        <v>252</v>
      </c>
    </row>
    <row r="36" spans="2:16" x14ac:dyDescent="0.35">
      <c r="B36" s="9">
        <f t="shared" si="9"/>
        <v>22</v>
      </c>
      <c r="C36" s="60">
        <f t="shared" si="12"/>
        <v>2</v>
      </c>
      <c r="D36" s="61">
        <f t="shared" si="0"/>
        <v>22319862.339441646</v>
      </c>
      <c r="E36" s="62">
        <f t="shared" si="1"/>
        <v>114225.95765300129</v>
      </c>
      <c r="F36" s="103">
        <f t="shared" si="2"/>
        <v>80537.503274818606</v>
      </c>
      <c r="G36" s="103">
        <f t="shared" si="10"/>
        <v>33688.45437818268</v>
      </c>
      <c r="H36" s="10">
        <f t="shared" si="3"/>
        <v>22286173.885063462</v>
      </c>
      <c r="J36" s="76">
        <f t="shared" si="11"/>
        <v>22</v>
      </c>
      <c r="K36" s="61">
        <f t="shared" si="4"/>
        <v>1370711.4918360151</v>
      </c>
      <c r="L36" s="62">
        <f t="shared" si="5"/>
        <v>423072.11105353991</v>
      </c>
      <c r="M36" s="75">
        <f t="shared" si="6"/>
        <v>947639.38078247546</v>
      </c>
      <c r="N36" s="77">
        <f t="shared" si="7"/>
        <v>9254024.4004409444</v>
      </c>
      <c r="P36" s="3">
        <f t="shared" si="8"/>
        <v>264</v>
      </c>
    </row>
    <row r="37" spans="2:16" x14ac:dyDescent="0.35">
      <c r="B37" s="9">
        <f t="shared" si="9"/>
        <v>23</v>
      </c>
      <c r="C37" s="60">
        <f t="shared" si="12"/>
        <v>2</v>
      </c>
      <c r="D37" s="61">
        <f t="shared" si="0"/>
        <v>22286173.885063462</v>
      </c>
      <c r="E37" s="62">
        <f t="shared" si="1"/>
        <v>114225.95765300129</v>
      </c>
      <c r="F37" s="103">
        <f t="shared" si="2"/>
        <v>80415.944101937319</v>
      </c>
      <c r="G37" s="103">
        <f t="shared" si="10"/>
        <v>33810.013551063967</v>
      </c>
      <c r="H37" s="10">
        <f t="shared" si="3"/>
        <v>22252363.871512398</v>
      </c>
      <c r="J37" s="76">
        <f t="shared" si="11"/>
        <v>23</v>
      </c>
      <c r="K37" s="61">
        <f t="shared" si="4"/>
        <v>1370711.4918360151</v>
      </c>
      <c r="L37" s="62">
        <f t="shared" si="5"/>
        <v>381215.12149078923</v>
      </c>
      <c r="M37" s="75">
        <f t="shared" si="6"/>
        <v>989496.37034522626</v>
      </c>
      <c r="N37" s="77">
        <f t="shared" si="7"/>
        <v>8264528.0300957235</v>
      </c>
      <c r="P37" s="3">
        <f t="shared" si="8"/>
        <v>276</v>
      </c>
    </row>
    <row r="38" spans="2:16" x14ac:dyDescent="0.35">
      <c r="B38" s="9">
        <f t="shared" si="9"/>
        <v>24</v>
      </c>
      <c r="C38" s="60">
        <f t="shared" si="12"/>
        <v>2</v>
      </c>
      <c r="D38" s="61">
        <f t="shared" si="0"/>
        <v>22252363.871512398</v>
      </c>
      <c r="E38" s="62">
        <f t="shared" si="1"/>
        <v>114225.95765300129</v>
      </c>
      <c r="F38" s="103">
        <f t="shared" si="2"/>
        <v>80293.94630304056</v>
      </c>
      <c r="G38" s="103">
        <f t="shared" si="10"/>
        <v>33932.011349960725</v>
      </c>
      <c r="H38" s="10">
        <f t="shared" si="3"/>
        <v>22218431.860162437</v>
      </c>
      <c r="J38" s="76">
        <f t="shared" si="11"/>
        <v>24</v>
      </c>
      <c r="K38" s="61">
        <f t="shared" si="4"/>
        <v>1370711.4918360151</v>
      </c>
      <c r="L38" s="62">
        <f t="shared" si="5"/>
        <v>337509.31938311306</v>
      </c>
      <c r="M38" s="75">
        <f t="shared" si="6"/>
        <v>1033202.1724529023</v>
      </c>
      <c r="N38" s="77">
        <f t="shared" si="7"/>
        <v>7231325.857642821</v>
      </c>
      <c r="P38" s="3">
        <f t="shared" si="8"/>
        <v>288</v>
      </c>
    </row>
    <row r="39" spans="2:16" x14ac:dyDescent="0.35">
      <c r="B39" s="9">
        <f t="shared" si="9"/>
        <v>25</v>
      </c>
      <c r="C39" s="60">
        <f t="shared" si="12"/>
        <v>3</v>
      </c>
      <c r="D39" s="61">
        <f t="shared" si="0"/>
        <v>22218431.860162437</v>
      </c>
      <c r="E39" s="62">
        <f t="shared" si="1"/>
        <v>114225.95765300129</v>
      </c>
      <c r="F39" s="103">
        <f t="shared" si="2"/>
        <v>80171.508295419451</v>
      </c>
      <c r="G39" s="103">
        <f t="shared" si="10"/>
        <v>34054.449357581834</v>
      </c>
      <c r="H39" s="10">
        <f t="shared" si="3"/>
        <v>22184377.410804857</v>
      </c>
      <c r="J39" s="76">
        <f t="shared" si="11"/>
        <v>25</v>
      </c>
      <c r="K39" s="61">
        <f t="shared" si="4"/>
        <v>1370711.4918360151</v>
      </c>
      <c r="L39" s="62">
        <f t="shared" si="5"/>
        <v>291873.04315231391</v>
      </c>
      <c r="M39" s="75">
        <f t="shared" si="6"/>
        <v>1078838.4486837015</v>
      </c>
      <c r="N39" s="77">
        <f t="shared" si="7"/>
        <v>6152487.4089591205</v>
      </c>
      <c r="P39" s="3">
        <f t="shared" si="8"/>
        <v>300</v>
      </c>
    </row>
    <row r="40" spans="2:16" x14ac:dyDescent="0.35">
      <c r="B40" s="9">
        <f t="shared" si="9"/>
        <v>26</v>
      </c>
      <c r="C40" s="60">
        <f t="shared" si="12"/>
        <v>3</v>
      </c>
      <c r="D40" s="61">
        <f t="shared" si="0"/>
        <v>22184377.410804857</v>
      </c>
      <c r="E40" s="62">
        <f t="shared" si="1"/>
        <v>114225.95765300129</v>
      </c>
      <c r="F40" s="103">
        <f t="shared" si="2"/>
        <v>80048.628490654184</v>
      </c>
      <c r="G40" s="103">
        <f t="shared" si="10"/>
        <v>34177.329162347101</v>
      </c>
      <c r="H40" s="10">
        <f t="shared" si="3"/>
        <v>22150200.081642509</v>
      </c>
      <c r="J40" s="76">
        <f t="shared" si="11"/>
        <v>26</v>
      </c>
      <c r="K40" s="61">
        <f t="shared" si="4"/>
        <v>1370711.4918360151</v>
      </c>
      <c r="L40" s="62">
        <f t="shared" si="5"/>
        <v>244221.02424913013</v>
      </c>
      <c r="M40" s="75">
        <f t="shared" si="6"/>
        <v>1126490.4675868852</v>
      </c>
      <c r="N40" s="77">
        <f t="shared" si="7"/>
        <v>5025996.9413722362</v>
      </c>
      <c r="P40" s="3">
        <f t="shared" si="8"/>
        <v>312</v>
      </c>
    </row>
    <row r="41" spans="2:16" x14ac:dyDescent="0.35">
      <c r="B41" s="9">
        <f t="shared" si="9"/>
        <v>27</v>
      </c>
      <c r="C41" s="60">
        <f t="shared" si="12"/>
        <v>3</v>
      </c>
      <c r="D41" s="61">
        <f t="shared" si="0"/>
        <v>22150200.081642509</v>
      </c>
      <c r="E41" s="62">
        <f t="shared" si="1"/>
        <v>114225.95765300129</v>
      </c>
      <c r="F41" s="103">
        <f t="shared" si="2"/>
        <v>79925.305294593389</v>
      </c>
      <c r="G41" s="103">
        <f t="shared" si="10"/>
        <v>34300.652358407897</v>
      </c>
      <c r="H41" s="10">
        <f t="shared" si="3"/>
        <v>22115899.429284099</v>
      </c>
      <c r="J41" s="76">
        <f t="shared" si="11"/>
        <v>27</v>
      </c>
      <c r="K41" s="61">
        <f t="shared" si="4"/>
        <v>1370711.4918360151</v>
      </c>
      <c r="L41" s="62">
        <f t="shared" si="5"/>
        <v>194464.227834244</v>
      </c>
      <c r="M41" s="75">
        <f t="shared" si="6"/>
        <v>1176247.2640017713</v>
      </c>
      <c r="N41" s="77">
        <f t="shared" si="7"/>
        <v>3849749.6773704649</v>
      </c>
      <c r="P41" s="3">
        <f t="shared" si="8"/>
        <v>324</v>
      </c>
    </row>
    <row r="42" spans="2:16" x14ac:dyDescent="0.35">
      <c r="B42" s="9">
        <f t="shared" si="9"/>
        <v>28</v>
      </c>
      <c r="C42" s="60">
        <f t="shared" si="12"/>
        <v>3</v>
      </c>
      <c r="D42" s="61">
        <f t="shared" si="0"/>
        <v>22115899.429284099</v>
      </c>
      <c r="E42" s="62">
        <f t="shared" si="1"/>
        <v>114225.95765300129</v>
      </c>
      <c r="F42" s="103">
        <f t="shared" si="2"/>
        <v>79801.537107333454</v>
      </c>
      <c r="G42" s="103">
        <f t="shared" si="10"/>
        <v>34424.420545667832</v>
      </c>
      <c r="H42" s="10">
        <f t="shared" si="3"/>
        <v>22081475.008738432</v>
      </c>
      <c r="J42" s="76">
        <f t="shared" si="11"/>
        <v>28</v>
      </c>
      <c r="K42" s="61">
        <f t="shared" si="4"/>
        <v>1370711.4918360151</v>
      </c>
      <c r="L42" s="62">
        <f t="shared" si="5"/>
        <v>142509.68642221115</v>
      </c>
      <c r="M42" s="75">
        <f t="shared" si="6"/>
        <v>1228201.8054138042</v>
      </c>
      <c r="N42" s="77">
        <f t="shared" si="7"/>
        <v>2621547.8719566599</v>
      </c>
      <c r="P42" s="3">
        <f t="shared" si="8"/>
        <v>336</v>
      </c>
    </row>
    <row r="43" spans="2:16" x14ac:dyDescent="0.35">
      <c r="B43" s="9">
        <f t="shared" si="9"/>
        <v>29</v>
      </c>
      <c r="C43" s="60">
        <f t="shared" si="12"/>
        <v>3</v>
      </c>
      <c r="D43" s="61">
        <f t="shared" si="0"/>
        <v>22081475.008738432</v>
      </c>
      <c r="E43" s="62">
        <f t="shared" si="1"/>
        <v>114225.95765300129</v>
      </c>
      <c r="F43" s="103">
        <f t="shared" si="2"/>
        <v>79677.322323197834</v>
      </c>
      <c r="G43" s="103">
        <f t="shared" si="10"/>
        <v>34548.635329803452</v>
      </c>
      <c r="H43" s="10">
        <f t="shared" si="3"/>
        <v>22046926.37340863</v>
      </c>
      <c r="J43" s="76">
        <f t="shared" si="11"/>
        <v>29</v>
      </c>
      <c r="K43" s="61">
        <f t="shared" si="4"/>
        <v>1370711.4918360151</v>
      </c>
      <c r="L43" s="62">
        <f t="shared" si="5"/>
        <v>88260.326177485549</v>
      </c>
      <c r="M43" s="75">
        <f t="shared" si="6"/>
        <v>1282451.1656585296</v>
      </c>
      <c r="N43" s="77">
        <f t="shared" si="7"/>
        <v>1339096.7062981301</v>
      </c>
      <c r="P43" s="3">
        <f t="shared" si="8"/>
        <v>348</v>
      </c>
    </row>
    <row r="44" spans="2:16" x14ac:dyDescent="0.35">
      <c r="B44" s="9">
        <f t="shared" si="9"/>
        <v>30</v>
      </c>
      <c r="C44" s="60">
        <f t="shared" si="12"/>
        <v>3</v>
      </c>
      <c r="D44" s="61">
        <f t="shared" si="0"/>
        <v>22046926.37340863</v>
      </c>
      <c r="E44" s="62">
        <f t="shared" si="1"/>
        <v>114225.95765300129</v>
      </c>
      <c r="F44" s="103">
        <f t="shared" si="2"/>
        <v>79552.659330716138</v>
      </c>
      <c r="G44" s="103">
        <f t="shared" si="10"/>
        <v>34673.298322285147</v>
      </c>
      <c r="H44" s="10">
        <f t="shared" si="3"/>
        <v>22012253.075086344</v>
      </c>
      <c r="J44" s="78">
        <f t="shared" si="11"/>
        <v>30</v>
      </c>
      <c r="K44" s="12">
        <f t="shared" si="4"/>
        <v>1370711.4918360151</v>
      </c>
      <c r="L44" s="13">
        <f t="shared" si="5"/>
        <v>31614.785537983145</v>
      </c>
      <c r="M44" s="55">
        <f t="shared" si="6"/>
        <v>1339096.7062980323</v>
      </c>
      <c r="N44" s="79">
        <f t="shared" si="7"/>
        <v>9.7774318419396877E-8</v>
      </c>
      <c r="P44" s="3">
        <f t="shared" si="8"/>
        <v>360</v>
      </c>
    </row>
    <row r="45" spans="2:16" x14ac:dyDescent="0.35">
      <c r="B45" s="9">
        <f t="shared" si="9"/>
        <v>31</v>
      </c>
      <c r="C45" s="60">
        <f t="shared" si="12"/>
        <v>3</v>
      </c>
      <c r="D45" s="61">
        <f t="shared" si="0"/>
        <v>22012253.075086344</v>
      </c>
      <c r="E45" s="62">
        <f t="shared" si="1"/>
        <v>114225.95765300129</v>
      </c>
      <c r="F45" s="103">
        <f t="shared" si="2"/>
        <v>79427.546512603221</v>
      </c>
      <c r="G45" s="103">
        <f t="shared" si="10"/>
        <v>34798.411140398064</v>
      </c>
      <c r="H45" s="10">
        <f t="shared" si="3"/>
        <v>21977454.663945947</v>
      </c>
    </row>
    <row r="46" spans="2:16" x14ac:dyDescent="0.35">
      <c r="B46" s="9">
        <f t="shared" si="9"/>
        <v>32</v>
      </c>
      <c r="C46" s="60">
        <f t="shared" si="12"/>
        <v>3</v>
      </c>
      <c r="D46" s="61">
        <f t="shared" si="0"/>
        <v>21977454.663945947</v>
      </c>
      <c r="E46" s="62">
        <f t="shared" si="1"/>
        <v>114225.95765300129</v>
      </c>
      <c r="F46" s="103">
        <f t="shared" si="2"/>
        <v>79301.982245738283</v>
      </c>
      <c r="G46" s="103">
        <f t="shared" si="10"/>
        <v>34923.975407263002</v>
      </c>
      <c r="H46" s="10">
        <f t="shared" si="3"/>
        <v>21942530.688538685</v>
      </c>
    </row>
    <row r="47" spans="2:16" x14ac:dyDescent="0.35">
      <c r="B47" s="9">
        <f t="shared" si="9"/>
        <v>33</v>
      </c>
      <c r="C47" s="60">
        <f t="shared" si="12"/>
        <v>3</v>
      </c>
      <c r="D47" s="61">
        <f t="shared" si="0"/>
        <v>21942530.688538685</v>
      </c>
      <c r="E47" s="62">
        <f t="shared" si="1"/>
        <v>114225.95765300129</v>
      </c>
      <c r="F47" s="103">
        <f t="shared" si="2"/>
        <v>79175.964901143758</v>
      </c>
      <c r="G47" s="103">
        <f t="shared" si="10"/>
        <v>35049.992751857528</v>
      </c>
      <c r="H47" s="10">
        <f t="shared" si="3"/>
        <v>21907480.695786826</v>
      </c>
    </row>
    <row r="48" spans="2:16" x14ac:dyDescent="0.35">
      <c r="B48" s="9">
        <f t="shared" si="9"/>
        <v>34</v>
      </c>
      <c r="C48" s="60">
        <f t="shared" si="12"/>
        <v>3</v>
      </c>
      <c r="D48" s="61">
        <f t="shared" si="0"/>
        <v>21907480.695786826</v>
      </c>
      <c r="E48" s="62">
        <f t="shared" si="1"/>
        <v>114225.95765300129</v>
      </c>
      <c r="F48" s="103">
        <f t="shared" si="2"/>
        <v>79049.492843964123</v>
      </c>
      <c r="G48" s="103">
        <f t="shared" si="10"/>
        <v>35176.464809037163</v>
      </c>
      <c r="H48" s="10">
        <f t="shared" si="3"/>
        <v>21872304.230977789</v>
      </c>
    </row>
    <row r="49" spans="2:8" x14ac:dyDescent="0.35">
      <c r="B49" s="9">
        <f t="shared" si="9"/>
        <v>35</v>
      </c>
      <c r="C49" s="60">
        <f t="shared" si="12"/>
        <v>3</v>
      </c>
      <c r="D49" s="61">
        <f t="shared" si="0"/>
        <v>21872304.230977789</v>
      </c>
      <c r="E49" s="62">
        <f t="shared" si="1"/>
        <v>114225.95765300129</v>
      </c>
      <c r="F49" s="103">
        <f t="shared" si="2"/>
        <v>78922.564433444844</v>
      </c>
      <c r="G49" s="103">
        <f t="shared" si="10"/>
        <v>35303.393219556441</v>
      </c>
      <c r="H49" s="10">
        <f t="shared" si="3"/>
        <v>21837000.837758232</v>
      </c>
    </row>
    <row r="50" spans="2:8" x14ac:dyDescent="0.35">
      <c r="B50" s="9">
        <f t="shared" si="9"/>
        <v>36</v>
      </c>
      <c r="C50" s="60">
        <f t="shared" si="12"/>
        <v>3</v>
      </c>
      <c r="D50" s="61">
        <f t="shared" si="0"/>
        <v>21837000.837758232</v>
      </c>
      <c r="E50" s="62">
        <f t="shared" si="1"/>
        <v>114225.95765300129</v>
      </c>
      <c r="F50" s="103">
        <f t="shared" si="2"/>
        <v>78795.178022910957</v>
      </c>
      <c r="G50" s="103">
        <f t="shared" si="10"/>
        <v>35430.779630090328</v>
      </c>
      <c r="H50" s="10">
        <f t="shared" si="3"/>
        <v>21801570.058128141</v>
      </c>
    </row>
    <row r="51" spans="2:8" x14ac:dyDescent="0.35">
      <c r="B51" s="9">
        <f t="shared" si="9"/>
        <v>37</v>
      </c>
      <c r="C51" s="60">
        <f t="shared" si="12"/>
        <v>4</v>
      </c>
      <c r="D51" s="61">
        <f t="shared" si="0"/>
        <v>21801570.058128141</v>
      </c>
      <c r="E51" s="62">
        <f t="shared" si="1"/>
        <v>114225.95765300129</v>
      </c>
      <c r="F51" s="103">
        <f t="shared" si="2"/>
        <v>78667.331959745701</v>
      </c>
      <c r="G51" s="103">
        <f t="shared" si="10"/>
        <v>35558.625693255584</v>
      </c>
      <c r="H51" s="10">
        <f t="shared" si="3"/>
        <v>21766011.432434887</v>
      </c>
    </row>
    <row r="52" spans="2:8" x14ac:dyDescent="0.35">
      <c r="B52" s="9">
        <f t="shared" si="9"/>
        <v>38</v>
      </c>
      <c r="C52" s="60">
        <f t="shared" si="12"/>
        <v>4</v>
      </c>
      <c r="D52" s="61">
        <f t="shared" si="0"/>
        <v>21766011.432434887</v>
      </c>
      <c r="E52" s="62">
        <f t="shared" si="1"/>
        <v>114225.95765300129</v>
      </c>
      <c r="F52" s="103">
        <f t="shared" si="2"/>
        <v>78539.024585369218</v>
      </c>
      <c r="G52" s="103">
        <f t="shared" si="10"/>
        <v>35686.933067632068</v>
      </c>
      <c r="H52" s="10">
        <f t="shared" si="3"/>
        <v>21730324.499367256</v>
      </c>
    </row>
    <row r="53" spans="2:8" x14ac:dyDescent="0.35">
      <c r="B53" s="9">
        <f t="shared" si="9"/>
        <v>39</v>
      </c>
      <c r="C53" s="60">
        <f t="shared" si="12"/>
        <v>4</v>
      </c>
      <c r="D53" s="61">
        <f t="shared" si="0"/>
        <v>21730324.499367256</v>
      </c>
      <c r="E53" s="62">
        <f t="shared" si="1"/>
        <v>114225.95765300129</v>
      </c>
      <c r="F53" s="103">
        <f t="shared" si="2"/>
        <v>78410.254235216838</v>
      </c>
      <c r="G53" s="103">
        <f t="shared" si="10"/>
        <v>35815.703417784447</v>
      </c>
      <c r="H53" s="10">
        <f t="shared" si="3"/>
        <v>21694508.79594947</v>
      </c>
    </row>
    <row r="54" spans="2:8" x14ac:dyDescent="0.35">
      <c r="B54" s="9">
        <f t="shared" si="9"/>
        <v>40</v>
      </c>
      <c r="C54" s="60">
        <f t="shared" si="12"/>
        <v>4</v>
      </c>
      <c r="D54" s="61">
        <f t="shared" si="0"/>
        <v>21694508.79594947</v>
      </c>
      <c r="E54" s="62">
        <f t="shared" si="1"/>
        <v>114225.95765300129</v>
      </c>
      <c r="F54" s="103">
        <f t="shared" si="2"/>
        <v>78281.019238717665</v>
      </c>
      <c r="G54" s="103">
        <f t="shared" si="10"/>
        <v>35944.938414283621</v>
      </c>
      <c r="H54" s="10">
        <f t="shared" si="3"/>
        <v>21658563.857535187</v>
      </c>
    </row>
    <row r="55" spans="2:8" x14ac:dyDescent="0.35">
      <c r="B55" s="9">
        <f t="shared" si="9"/>
        <v>41</v>
      </c>
      <c r="C55" s="60">
        <f t="shared" si="12"/>
        <v>4</v>
      </c>
      <c r="D55" s="61">
        <f t="shared" si="0"/>
        <v>21658563.857535187</v>
      </c>
      <c r="E55" s="62">
        <f t="shared" si="1"/>
        <v>114225.95765300129</v>
      </c>
      <c r="F55" s="103">
        <f t="shared" si="2"/>
        <v>78151.317919272798</v>
      </c>
      <c r="G55" s="103">
        <f t="shared" si="10"/>
        <v>36074.639733728487</v>
      </c>
      <c r="H55" s="10">
        <f t="shared" si="3"/>
        <v>21622489.217801459</v>
      </c>
    </row>
    <row r="56" spans="2:8" x14ac:dyDescent="0.35">
      <c r="B56" s="9">
        <f t="shared" si="9"/>
        <v>42</v>
      </c>
      <c r="C56" s="60">
        <f t="shared" si="12"/>
        <v>4</v>
      </c>
      <c r="D56" s="61">
        <f t="shared" si="0"/>
        <v>21622489.217801459</v>
      </c>
      <c r="E56" s="62">
        <f t="shared" si="1"/>
        <v>114225.95765300129</v>
      </c>
      <c r="F56" s="103">
        <f t="shared" si="2"/>
        <v>78021.1485942336</v>
      </c>
      <c r="G56" s="103">
        <f t="shared" si="10"/>
        <v>36204.809058767685</v>
      </c>
      <c r="H56" s="10">
        <f t="shared" si="3"/>
        <v>21586284.408742692</v>
      </c>
    </row>
    <row r="57" spans="2:8" x14ac:dyDescent="0.35">
      <c r="B57" s="9">
        <f t="shared" si="9"/>
        <v>43</v>
      </c>
      <c r="C57" s="60">
        <f t="shared" si="12"/>
        <v>4</v>
      </c>
      <c r="D57" s="61">
        <f t="shared" si="0"/>
        <v>21586284.408742692</v>
      </c>
      <c r="E57" s="62">
        <f t="shared" si="1"/>
        <v>114225.95765300129</v>
      </c>
      <c r="F57" s="103">
        <f t="shared" si="2"/>
        <v>77890.509574879878</v>
      </c>
      <c r="G57" s="103">
        <f t="shared" si="10"/>
        <v>36335.448078121408</v>
      </c>
      <c r="H57" s="10">
        <f t="shared" si="3"/>
        <v>21549948.96066457</v>
      </c>
    </row>
    <row r="58" spans="2:8" x14ac:dyDescent="0.35">
      <c r="B58" s="9">
        <f t="shared" si="9"/>
        <v>44</v>
      </c>
      <c r="C58" s="60">
        <f t="shared" si="12"/>
        <v>4</v>
      </c>
      <c r="D58" s="61">
        <f t="shared" si="0"/>
        <v>21549948.96066457</v>
      </c>
      <c r="E58" s="62">
        <f t="shared" si="1"/>
        <v>114225.95765300129</v>
      </c>
      <c r="F58" s="103">
        <f t="shared" si="2"/>
        <v>77759.399166397983</v>
      </c>
      <c r="G58" s="103">
        <f t="shared" si="10"/>
        <v>36466.558486603302</v>
      </c>
      <c r="H58" s="10">
        <f t="shared" si="3"/>
        <v>21513482.402177967</v>
      </c>
    </row>
    <row r="59" spans="2:8" x14ac:dyDescent="0.35">
      <c r="B59" s="9">
        <f t="shared" si="9"/>
        <v>45</v>
      </c>
      <c r="C59" s="60">
        <f t="shared" si="12"/>
        <v>4</v>
      </c>
      <c r="D59" s="61">
        <f t="shared" si="0"/>
        <v>21513482.402177967</v>
      </c>
      <c r="E59" s="62">
        <f t="shared" si="1"/>
        <v>114225.95765300129</v>
      </c>
      <c r="F59" s="103">
        <f t="shared" si="2"/>
        <v>77627.815667858828</v>
      </c>
      <c r="G59" s="103">
        <f t="shared" si="10"/>
        <v>36598.141985142458</v>
      </c>
      <c r="H59" s="10">
        <f t="shared" si="3"/>
        <v>21476884.260192826</v>
      </c>
    </row>
    <row r="60" spans="2:8" x14ac:dyDescent="0.35">
      <c r="B60" s="9">
        <f t="shared" si="9"/>
        <v>46</v>
      </c>
      <c r="C60" s="60">
        <f t="shared" si="12"/>
        <v>4</v>
      </c>
      <c r="D60" s="61">
        <f t="shared" si="0"/>
        <v>21476884.260192826</v>
      </c>
      <c r="E60" s="62">
        <f t="shared" si="1"/>
        <v>114225.95765300129</v>
      </c>
      <c r="F60" s="103">
        <f t="shared" si="2"/>
        <v>77495.757372195774</v>
      </c>
      <c r="G60" s="103">
        <f t="shared" si="10"/>
        <v>36730.200280805511</v>
      </c>
      <c r="H60" s="10">
        <f t="shared" si="3"/>
        <v>21440154.059912022</v>
      </c>
    </row>
    <row r="61" spans="2:8" x14ac:dyDescent="0.35">
      <c r="B61" s="9">
        <f t="shared" si="9"/>
        <v>47</v>
      </c>
      <c r="C61" s="60">
        <f t="shared" si="12"/>
        <v>4</v>
      </c>
      <c r="D61" s="61">
        <f t="shared" si="0"/>
        <v>21440154.059912022</v>
      </c>
      <c r="E61" s="62">
        <f t="shared" si="1"/>
        <v>114225.95765300129</v>
      </c>
      <c r="F61" s="103">
        <f t="shared" si="2"/>
        <v>77363.222566182551</v>
      </c>
      <c r="G61" s="103">
        <f t="shared" si="10"/>
        <v>36862.735086818735</v>
      </c>
      <c r="H61" s="10">
        <f t="shared" si="3"/>
        <v>21403291.324825205</v>
      </c>
    </row>
    <row r="62" spans="2:8" x14ac:dyDescent="0.35">
      <c r="B62" s="9">
        <f t="shared" si="9"/>
        <v>48</v>
      </c>
      <c r="C62" s="60">
        <f t="shared" si="12"/>
        <v>4</v>
      </c>
      <c r="D62" s="61">
        <f t="shared" si="0"/>
        <v>21403291.324825205</v>
      </c>
      <c r="E62" s="62">
        <f t="shared" si="1"/>
        <v>114225.95765300129</v>
      </c>
      <c r="F62" s="103">
        <f t="shared" si="2"/>
        <v>77230.209530410939</v>
      </c>
      <c r="G62" s="103">
        <f t="shared" si="10"/>
        <v>36995.748122590347</v>
      </c>
      <c r="H62" s="10">
        <f t="shared" si="3"/>
        <v>21366295.576702613</v>
      </c>
    </row>
    <row r="63" spans="2:8" x14ac:dyDescent="0.35">
      <c r="B63" s="9">
        <f t="shared" si="9"/>
        <v>49</v>
      </c>
      <c r="C63" s="60">
        <f t="shared" si="12"/>
        <v>5</v>
      </c>
      <c r="D63" s="61">
        <f t="shared" si="0"/>
        <v>21366295.576702613</v>
      </c>
      <c r="E63" s="62">
        <f t="shared" si="1"/>
        <v>114225.95765300129</v>
      </c>
      <c r="F63" s="103">
        <f t="shared" si="2"/>
        <v>77096.7165392686</v>
      </c>
      <c r="G63" s="103">
        <f t="shared" si="10"/>
        <v>37129.241113732685</v>
      </c>
      <c r="H63" s="10">
        <f t="shared" si="3"/>
        <v>21329166.33558888</v>
      </c>
    </row>
    <row r="64" spans="2:8" x14ac:dyDescent="0.35">
      <c r="B64" s="9">
        <f t="shared" si="9"/>
        <v>50</v>
      </c>
      <c r="C64" s="60">
        <f t="shared" si="12"/>
        <v>5</v>
      </c>
      <c r="D64" s="61">
        <f t="shared" si="0"/>
        <v>21329166.33558888</v>
      </c>
      <c r="E64" s="62">
        <f t="shared" si="1"/>
        <v>114225.95765300129</v>
      </c>
      <c r="F64" s="103">
        <f t="shared" si="2"/>
        <v>76962.741860916532</v>
      </c>
      <c r="G64" s="103">
        <f t="shared" si="10"/>
        <v>37263.215792084753</v>
      </c>
      <c r="H64" s="10">
        <f t="shared" si="3"/>
        <v>21291903.119796794</v>
      </c>
    </row>
    <row r="65" spans="2:8" x14ac:dyDescent="0.35">
      <c r="B65" s="9">
        <f t="shared" si="9"/>
        <v>51</v>
      </c>
      <c r="C65" s="60">
        <f t="shared" si="12"/>
        <v>5</v>
      </c>
      <c r="D65" s="61">
        <f t="shared" si="0"/>
        <v>21291903.119796794</v>
      </c>
      <c r="E65" s="62">
        <f t="shared" si="1"/>
        <v>114225.95765300129</v>
      </c>
      <c r="F65" s="103">
        <f t="shared" si="2"/>
        <v>76828.283757266763</v>
      </c>
      <c r="G65" s="103">
        <f t="shared" si="10"/>
        <v>37397.673895734522</v>
      </c>
      <c r="H65" s="10">
        <f t="shared" si="3"/>
        <v>21254505.445901059</v>
      </c>
    </row>
    <row r="66" spans="2:8" x14ac:dyDescent="0.35">
      <c r="B66" s="9">
        <f t="shared" si="9"/>
        <v>52</v>
      </c>
      <c r="C66" s="60">
        <f t="shared" si="12"/>
        <v>5</v>
      </c>
      <c r="D66" s="61">
        <f t="shared" si="0"/>
        <v>21254505.445901059</v>
      </c>
      <c r="E66" s="62">
        <f t="shared" si="1"/>
        <v>114225.95765300129</v>
      </c>
      <c r="F66" s="103">
        <f t="shared" si="2"/>
        <v>76693.340483959648</v>
      </c>
      <c r="G66" s="103">
        <f t="shared" si="10"/>
        <v>37532.617169041638</v>
      </c>
      <c r="H66" s="10">
        <f t="shared" si="3"/>
        <v>21216972.828732017</v>
      </c>
    </row>
    <row r="67" spans="2:8" x14ac:dyDescent="0.35">
      <c r="B67" s="9">
        <f t="shared" si="9"/>
        <v>53</v>
      </c>
      <c r="C67" s="60">
        <f t="shared" si="12"/>
        <v>5</v>
      </c>
      <c r="D67" s="61">
        <f t="shared" si="0"/>
        <v>21216972.828732017</v>
      </c>
      <c r="E67" s="62">
        <f t="shared" si="1"/>
        <v>114225.95765300129</v>
      </c>
      <c r="F67" s="103">
        <f t="shared" si="2"/>
        <v>76557.910290341359</v>
      </c>
      <c r="G67" s="103">
        <f t="shared" si="10"/>
        <v>37668.047362659927</v>
      </c>
      <c r="H67" s="10">
        <f t="shared" si="3"/>
        <v>21179304.781369358</v>
      </c>
    </row>
    <row r="68" spans="2:8" x14ac:dyDescent="0.35">
      <c r="B68" s="9">
        <f t="shared" si="9"/>
        <v>54</v>
      </c>
      <c r="C68" s="60">
        <f t="shared" si="12"/>
        <v>5</v>
      </c>
      <c r="D68" s="61">
        <f t="shared" si="0"/>
        <v>21179304.781369358</v>
      </c>
      <c r="E68" s="62">
        <f t="shared" si="1"/>
        <v>114225.95765300129</v>
      </c>
      <c r="F68" s="103">
        <f t="shared" si="2"/>
        <v>76421.991419441096</v>
      </c>
      <c r="G68" s="103">
        <f t="shared" si="10"/>
        <v>37803.96623356019</v>
      </c>
      <c r="H68" s="10">
        <f t="shared" si="3"/>
        <v>21141500.815135799</v>
      </c>
    </row>
    <row r="69" spans="2:8" x14ac:dyDescent="0.35">
      <c r="B69" s="9">
        <f t="shared" si="9"/>
        <v>55</v>
      </c>
      <c r="C69" s="60">
        <f t="shared" si="12"/>
        <v>5</v>
      </c>
      <c r="D69" s="61">
        <f t="shared" si="0"/>
        <v>21141500.815135799</v>
      </c>
      <c r="E69" s="62">
        <f t="shared" si="1"/>
        <v>114225.95765300129</v>
      </c>
      <c r="F69" s="103">
        <f t="shared" si="2"/>
        <v>76285.582107948343</v>
      </c>
      <c r="G69" s="103">
        <f t="shared" si="10"/>
        <v>37940.375545052942</v>
      </c>
      <c r="H69" s="10">
        <f t="shared" si="3"/>
        <v>21103560.439590745</v>
      </c>
    </row>
    <row r="70" spans="2:8" x14ac:dyDescent="0.35">
      <c r="B70" s="9">
        <f t="shared" si="9"/>
        <v>56</v>
      </c>
      <c r="C70" s="60">
        <f t="shared" si="12"/>
        <v>5</v>
      </c>
      <c r="D70" s="61">
        <f t="shared" si="0"/>
        <v>21103560.439590745</v>
      </c>
      <c r="E70" s="62">
        <f t="shared" si="1"/>
        <v>114225.95765300129</v>
      </c>
      <c r="F70" s="103">
        <f t="shared" si="2"/>
        <v>76148.680586189934</v>
      </c>
      <c r="G70" s="103">
        <f t="shared" si="10"/>
        <v>38077.277066811352</v>
      </c>
      <c r="H70" s="10">
        <f t="shared" si="3"/>
        <v>21065483.162523933</v>
      </c>
    </row>
    <row r="71" spans="2:8" x14ac:dyDescent="0.35">
      <c r="B71" s="9">
        <f t="shared" si="9"/>
        <v>57</v>
      </c>
      <c r="C71" s="60">
        <f t="shared" si="12"/>
        <v>5</v>
      </c>
      <c r="D71" s="61">
        <f t="shared" si="0"/>
        <v>21065483.162523933</v>
      </c>
      <c r="E71" s="62">
        <f t="shared" si="1"/>
        <v>114225.95765300129</v>
      </c>
      <c r="F71" s="103">
        <f t="shared" si="2"/>
        <v>76011.28507810719</v>
      </c>
      <c r="G71" s="103">
        <f t="shared" si="10"/>
        <v>38214.672574894095</v>
      </c>
      <c r="H71" s="10">
        <f t="shared" si="3"/>
        <v>21027268.48994904</v>
      </c>
    </row>
    <row r="72" spans="2:8" x14ac:dyDescent="0.35">
      <c r="B72" s="9">
        <f t="shared" si="9"/>
        <v>58</v>
      </c>
      <c r="C72" s="60">
        <f t="shared" si="12"/>
        <v>5</v>
      </c>
      <c r="D72" s="61">
        <f t="shared" si="0"/>
        <v>21027268.48994904</v>
      </c>
      <c r="E72" s="62">
        <f t="shared" si="1"/>
        <v>114225.95765300129</v>
      </c>
      <c r="F72" s="103">
        <f t="shared" si="2"/>
        <v>75873.393801232785</v>
      </c>
      <c r="G72" s="103">
        <f t="shared" si="10"/>
        <v>38352.5638517685</v>
      </c>
      <c r="H72" s="10">
        <f t="shared" si="3"/>
        <v>20988915.92609727</v>
      </c>
    </row>
    <row r="73" spans="2:8" x14ac:dyDescent="0.35">
      <c r="B73" s="9">
        <f t="shared" si="9"/>
        <v>59</v>
      </c>
      <c r="C73" s="60">
        <f t="shared" si="12"/>
        <v>5</v>
      </c>
      <c r="D73" s="61">
        <f t="shared" si="0"/>
        <v>20988915.92609727</v>
      </c>
      <c r="E73" s="62">
        <f t="shared" si="1"/>
        <v>114225.95765300129</v>
      </c>
      <c r="F73" s="103">
        <f t="shared" si="2"/>
        <v>75735.00496666765</v>
      </c>
      <c r="G73" s="103">
        <f t="shared" si="10"/>
        <v>38490.952686333636</v>
      </c>
      <c r="H73" s="10">
        <f t="shared" si="3"/>
        <v>20950424.973410938</v>
      </c>
    </row>
    <row r="74" spans="2:8" x14ac:dyDescent="0.35">
      <c r="B74" s="9">
        <f t="shared" si="9"/>
        <v>60</v>
      </c>
      <c r="C74" s="60">
        <f t="shared" si="12"/>
        <v>5</v>
      </c>
      <c r="D74" s="61">
        <f t="shared" si="0"/>
        <v>20950424.973410938</v>
      </c>
      <c r="E74" s="62">
        <f t="shared" si="1"/>
        <v>114225.95765300129</v>
      </c>
      <c r="F74" s="103">
        <f t="shared" si="2"/>
        <v>75596.116779057804</v>
      </c>
      <c r="G74" s="103">
        <f t="shared" si="10"/>
        <v>38629.840873943482</v>
      </c>
      <c r="H74" s="10">
        <f t="shared" si="3"/>
        <v>20911795.132536996</v>
      </c>
    </row>
    <row r="75" spans="2:8" x14ac:dyDescent="0.35">
      <c r="B75" s="9">
        <f t="shared" si="9"/>
        <v>61</v>
      </c>
      <c r="C75" s="60">
        <f t="shared" si="12"/>
        <v>6</v>
      </c>
      <c r="D75" s="61">
        <f t="shared" si="0"/>
        <v>20911795.132536996</v>
      </c>
      <c r="E75" s="62">
        <f t="shared" si="1"/>
        <v>114225.95765300129</v>
      </c>
      <c r="F75" s="103">
        <f t="shared" si="2"/>
        <v>75456.727436570989</v>
      </c>
      <c r="G75" s="103">
        <f t="shared" si="10"/>
        <v>38769.230216430296</v>
      </c>
      <c r="H75" s="10">
        <f t="shared" si="3"/>
        <v>20873025.902320568</v>
      </c>
    </row>
    <row r="76" spans="2:8" x14ac:dyDescent="0.35">
      <c r="B76" s="9">
        <f t="shared" si="9"/>
        <v>62</v>
      </c>
      <c r="C76" s="60">
        <f t="shared" si="12"/>
        <v>6</v>
      </c>
      <c r="D76" s="61">
        <f t="shared" si="0"/>
        <v>20873025.902320568</v>
      </c>
      <c r="E76" s="62">
        <f t="shared" si="1"/>
        <v>114225.95765300129</v>
      </c>
      <c r="F76" s="103">
        <f t="shared" si="2"/>
        <v>75316.835130873384</v>
      </c>
      <c r="G76" s="103">
        <f t="shared" si="10"/>
        <v>38909.122522127902</v>
      </c>
      <c r="H76" s="10">
        <f t="shared" si="3"/>
        <v>20834116.779798441</v>
      </c>
    </row>
    <row r="77" spans="2:8" x14ac:dyDescent="0.35">
      <c r="B77" s="9">
        <f t="shared" si="9"/>
        <v>63</v>
      </c>
      <c r="C77" s="60">
        <f t="shared" si="12"/>
        <v>6</v>
      </c>
      <c r="D77" s="61">
        <f t="shared" si="0"/>
        <v>20834116.779798441</v>
      </c>
      <c r="E77" s="62">
        <f t="shared" si="1"/>
        <v>114225.95765300129</v>
      </c>
      <c r="F77" s="103">
        <f t="shared" si="2"/>
        <v>75176.438047106043</v>
      </c>
      <c r="G77" s="103">
        <f t="shared" si="10"/>
        <v>39049.519605895242</v>
      </c>
      <c r="H77" s="10">
        <f t="shared" si="3"/>
        <v>20795067.260192547</v>
      </c>
    </row>
    <row r="78" spans="2:8" x14ac:dyDescent="0.35">
      <c r="B78" s="9">
        <f t="shared" si="9"/>
        <v>64</v>
      </c>
      <c r="C78" s="60">
        <f t="shared" si="12"/>
        <v>6</v>
      </c>
      <c r="D78" s="61">
        <f t="shared" si="0"/>
        <v>20795067.260192547</v>
      </c>
      <c r="E78" s="62">
        <f t="shared" si="1"/>
        <v>114225.95765300129</v>
      </c>
      <c r="F78" s="103">
        <f t="shared" si="2"/>
        <v>75035.534363861443</v>
      </c>
      <c r="G78" s="103">
        <f t="shared" si="10"/>
        <v>39190.423289139842</v>
      </c>
      <c r="H78" s="10">
        <f t="shared" si="3"/>
        <v>20755876.836903408</v>
      </c>
    </row>
    <row r="79" spans="2:8" x14ac:dyDescent="0.35">
      <c r="B79" s="9">
        <f t="shared" si="9"/>
        <v>65</v>
      </c>
      <c r="C79" s="60">
        <f t="shared" si="12"/>
        <v>6</v>
      </c>
      <c r="D79" s="61">
        <f t="shared" si="0"/>
        <v>20755876.836903408</v>
      </c>
      <c r="E79" s="62">
        <f t="shared" si="1"/>
        <v>114225.95765300129</v>
      </c>
      <c r="F79" s="103">
        <f t="shared" si="2"/>
        <v>74894.122253159789</v>
      </c>
      <c r="G79" s="103">
        <f t="shared" si="10"/>
        <v>39331.835399841497</v>
      </c>
      <c r="H79" s="10">
        <f t="shared" si="3"/>
        <v>20716545.001503568</v>
      </c>
    </row>
    <row r="80" spans="2:8" x14ac:dyDescent="0.35">
      <c r="B80" s="9">
        <f t="shared" si="9"/>
        <v>66</v>
      </c>
      <c r="C80" s="60">
        <f t="shared" si="12"/>
        <v>6</v>
      </c>
      <c r="D80" s="61">
        <f t="shared" ref="D80:D143" si="13">H79</f>
        <v>20716545.001503568</v>
      </c>
      <c r="E80" s="62">
        <f t="shared" ref="E80:E143" si="14">$D$7</f>
        <v>114225.95765300129</v>
      </c>
      <c r="F80" s="103">
        <f t="shared" ref="F80:F143" si="15">D80*($D$4/12)</f>
        <v>74752.199880425367</v>
      </c>
      <c r="G80" s="103">
        <f t="shared" si="10"/>
        <v>39473.757772575918</v>
      </c>
      <c r="H80" s="10">
        <f t="shared" ref="H80:H143" si="16">D80-G80</f>
        <v>20677071.243730992</v>
      </c>
    </row>
    <row r="81" spans="2:8" x14ac:dyDescent="0.35">
      <c r="B81" s="9">
        <f t="shared" ref="B81:B144" si="17">B80+1</f>
        <v>67</v>
      </c>
      <c r="C81" s="60">
        <f t="shared" si="12"/>
        <v>6</v>
      </c>
      <c r="D81" s="61">
        <f t="shared" si="13"/>
        <v>20677071.243730992</v>
      </c>
      <c r="E81" s="62">
        <f t="shared" si="14"/>
        <v>114225.95765300129</v>
      </c>
      <c r="F81" s="103">
        <f t="shared" si="15"/>
        <v>74609.765404462654</v>
      </c>
      <c r="G81" s="103">
        <f t="shared" ref="G81:G144" si="18">E81-F81</f>
        <v>39616.192248538631</v>
      </c>
      <c r="H81" s="10">
        <f t="shared" si="16"/>
        <v>20637455.051482454</v>
      </c>
    </row>
    <row r="82" spans="2:8" x14ac:dyDescent="0.35">
      <c r="B82" s="9">
        <f t="shared" si="17"/>
        <v>68</v>
      </c>
      <c r="C82" s="60">
        <f t="shared" si="12"/>
        <v>6</v>
      </c>
      <c r="D82" s="61">
        <f t="shared" si="13"/>
        <v>20637455.051482454</v>
      </c>
      <c r="E82" s="62">
        <f t="shared" si="14"/>
        <v>114225.95765300129</v>
      </c>
      <c r="F82" s="103">
        <f t="shared" si="15"/>
        <v>74466.816977432522</v>
      </c>
      <c r="G82" s="103">
        <f t="shared" si="18"/>
        <v>39759.140675568764</v>
      </c>
      <c r="H82" s="10">
        <f t="shared" si="16"/>
        <v>20597695.910806887</v>
      </c>
    </row>
    <row r="83" spans="2:8" x14ac:dyDescent="0.35">
      <c r="B83" s="9">
        <f t="shared" si="17"/>
        <v>69</v>
      </c>
      <c r="C83" s="60">
        <f t="shared" si="12"/>
        <v>6</v>
      </c>
      <c r="D83" s="61">
        <f t="shared" si="13"/>
        <v>20597695.910806887</v>
      </c>
      <c r="E83" s="62">
        <f t="shared" si="14"/>
        <v>114225.95765300129</v>
      </c>
      <c r="F83" s="103">
        <f t="shared" si="15"/>
        <v>74323.352744828182</v>
      </c>
      <c r="G83" s="103">
        <f t="shared" si="18"/>
        <v>39902.604908173103</v>
      </c>
      <c r="H83" s="10">
        <f t="shared" si="16"/>
        <v>20557793.305898715</v>
      </c>
    </row>
    <row r="84" spans="2:8" x14ac:dyDescent="0.35">
      <c r="B84" s="9">
        <f t="shared" si="17"/>
        <v>70</v>
      </c>
      <c r="C84" s="60">
        <f t="shared" si="12"/>
        <v>6</v>
      </c>
      <c r="D84" s="61">
        <f t="shared" si="13"/>
        <v>20557793.305898715</v>
      </c>
      <c r="E84" s="62">
        <f t="shared" si="14"/>
        <v>114225.95765300129</v>
      </c>
      <c r="F84" s="103">
        <f t="shared" si="15"/>
        <v>74179.370845451194</v>
      </c>
      <c r="G84" s="103">
        <f t="shared" si="18"/>
        <v>40046.586807550091</v>
      </c>
      <c r="H84" s="10">
        <f t="shared" si="16"/>
        <v>20517746.719091166</v>
      </c>
    </row>
    <row r="85" spans="2:8" x14ac:dyDescent="0.35">
      <c r="B85" s="9">
        <f t="shared" si="17"/>
        <v>71</v>
      </c>
      <c r="C85" s="60">
        <f t="shared" si="12"/>
        <v>6</v>
      </c>
      <c r="D85" s="61">
        <f t="shared" si="13"/>
        <v>20517746.719091166</v>
      </c>
      <c r="E85" s="62">
        <f t="shared" si="14"/>
        <v>114225.95765300129</v>
      </c>
      <c r="F85" s="103">
        <f t="shared" si="15"/>
        <v>74034.869411387292</v>
      </c>
      <c r="G85" s="103">
        <f t="shared" si="18"/>
        <v>40191.088241613994</v>
      </c>
      <c r="H85" s="10">
        <f t="shared" si="16"/>
        <v>20477555.630849551</v>
      </c>
    </row>
    <row r="86" spans="2:8" x14ac:dyDescent="0.35">
      <c r="B86" s="9">
        <f t="shared" si="17"/>
        <v>72</v>
      </c>
      <c r="C86" s="60">
        <f t="shared" si="12"/>
        <v>6</v>
      </c>
      <c r="D86" s="61">
        <f t="shared" si="13"/>
        <v>20477555.630849551</v>
      </c>
      <c r="E86" s="62">
        <f t="shared" si="14"/>
        <v>114225.95765300129</v>
      </c>
      <c r="F86" s="103">
        <f t="shared" si="15"/>
        <v>73889.846567982124</v>
      </c>
      <c r="G86" s="103">
        <f t="shared" si="18"/>
        <v>40336.111085019162</v>
      </c>
      <c r="H86" s="10">
        <f t="shared" si="16"/>
        <v>20437219.519764531</v>
      </c>
    </row>
    <row r="87" spans="2:8" x14ac:dyDescent="0.35">
      <c r="B87" s="9">
        <f t="shared" si="17"/>
        <v>73</v>
      </c>
      <c r="C87" s="60">
        <f t="shared" si="12"/>
        <v>7</v>
      </c>
      <c r="D87" s="61">
        <f t="shared" si="13"/>
        <v>20437219.519764531</v>
      </c>
      <c r="E87" s="62">
        <f t="shared" si="14"/>
        <v>114225.95765300129</v>
      </c>
      <c r="F87" s="103">
        <f t="shared" si="15"/>
        <v>73744.300433817014</v>
      </c>
      <c r="G87" s="103">
        <f t="shared" si="18"/>
        <v>40481.657219184272</v>
      </c>
      <c r="H87" s="10">
        <f t="shared" si="16"/>
        <v>20396737.862545349</v>
      </c>
    </row>
    <row r="88" spans="2:8" x14ac:dyDescent="0.35">
      <c r="B88" s="9">
        <f t="shared" si="17"/>
        <v>74</v>
      </c>
      <c r="C88" s="60">
        <f t="shared" si="12"/>
        <v>7</v>
      </c>
      <c r="D88" s="61">
        <f t="shared" si="13"/>
        <v>20396737.862545349</v>
      </c>
      <c r="E88" s="62">
        <f t="shared" si="14"/>
        <v>114225.95765300129</v>
      </c>
      <c r="F88" s="103">
        <f t="shared" si="15"/>
        <v>73598.229120684467</v>
      </c>
      <c r="G88" s="103">
        <f t="shared" si="18"/>
        <v>40627.728532316818</v>
      </c>
      <c r="H88" s="10">
        <f t="shared" si="16"/>
        <v>20356110.134013031</v>
      </c>
    </row>
    <row r="89" spans="2:8" x14ac:dyDescent="0.35">
      <c r="B89" s="9">
        <f t="shared" si="17"/>
        <v>75</v>
      </c>
      <c r="C89" s="60">
        <f t="shared" si="12"/>
        <v>7</v>
      </c>
      <c r="D89" s="61">
        <f t="shared" si="13"/>
        <v>20356110.134013031</v>
      </c>
      <c r="E89" s="62">
        <f t="shared" si="14"/>
        <v>114225.95765300129</v>
      </c>
      <c r="F89" s="103">
        <f t="shared" si="15"/>
        <v>73451.630733563681</v>
      </c>
      <c r="G89" s="103">
        <f t="shared" si="18"/>
        <v>40774.326919437604</v>
      </c>
      <c r="H89" s="10">
        <f t="shared" si="16"/>
        <v>20315335.807093594</v>
      </c>
    </row>
    <row r="90" spans="2:8" x14ac:dyDescent="0.35">
      <c r="B90" s="9">
        <f t="shared" si="17"/>
        <v>76</v>
      </c>
      <c r="C90" s="60">
        <f t="shared" si="12"/>
        <v>7</v>
      </c>
      <c r="D90" s="61">
        <f t="shared" si="13"/>
        <v>20315335.807093594</v>
      </c>
      <c r="E90" s="62">
        <f t="shared" si="14"/>
        <v>114225.95765300129</v>
      </c>
      <c r="F90" s="103">
        <f t="shared" si="15"/>
        <v>73304.503370596052</v>
      </c>
      <c r="G90" s="103">
        <f t="shared" si="18"/>
        <v>40921.454282405233</v>
      </c>
      <c r="H90" s="10">
        <f t="shared" si="16"/>
        <v>20274414.352811188</v>
      </c>
    </row>
    <row r="91" spans="2:8" x14ac:dyDescent="0.35">
      <c r="B91" s="9">
        <f t="shared" si="17"/>
        <v>77</v>
      </c>
      <c r="C91" s="60">
        <f t="shared" si="12"/>
        <v>7</v>
      </c>
      <c r="D91" s="61">
        <f t="shared" si="13"/>
        <v>20274414.352811188</v>
      </c>
      <c r="E91" s="62">
        <f t="shared" si="14"/>
        <v>114225.95765300129</v>
      </c>
      <c r="F91" s="103">
        <f t="shared" si="15"/>
        <v>73156.845123060368</v>
      </c>
      <c r="G91" s="103">
        <f t="shared" si="18"/>
        <v>41069.112529940918</v>
      </c>
      <c r="H91" s="10">
        <f t="shared" si="16"/>
        <v>20233345.240281247</v>
      </c>
    </row>
    <row r="92" spans="2:8" x14ac:dyDescent="0.35">
      <c r="B92" s="9">
        <f t="shared" si="17"/>
        <v>78</v>
      </c>
      <c r="C92" s="60">
        <f t="shared" ref="C92:C155" si="19">C80+1</f>
        <v>7</v>
      </c>
      <c r="D92" s="61">
        <f t="shared" si="13"/>
        <v>20233345.240281247</v>
      </c>
      <c r="E92" s="62">
        <f t="shared" si="14"/>
        <v>114225.95765300129</v>
      </c>
      <c r="F92" s="103">
        <f t="shared" si="15"/>
        <v>73008.654075348168</v>
      </c>
      <c r="G92" s="103">
        <f t="shared" si="18"/>
        <v>41217.303577653118</v>
      </c>
      <c r="H92" s="10">
        <f t="shared" si="16"/>
        <v>20192127.936703593</v>
      </c>
    </row>
    <row r="93" spans="2:8" x14ac:dyDescent="0.35">
      <c r="B93" s="9">
        <f t="shared" si="17"/>
        <v>79</v>
      </c>
      <c r="C93" s="60">
        <f t="shared" si="19"/>
        <v>7</v>
      </c>
      <c r="D93" s="61">
        <f t="shared" si="13"/>
        <v>20192127.936703593</v>
      </c>
      <c r="E93" s="62">
        <f t="shared" si="14"/>
        <v>114225.95765300129</v>
      </c>
      <c r="F93" s="103">
        <f t="shared" si="15"/>
        <v>72859.928304938789</v>
      </c>
      <c r="G93" s="103">
        <f t="shared" si="18"/>
        <v>41366.029348062497</v>
      </c>
      <c r="H93" s="10">
        <f t="shared" si="16"/>
        <v>20150761.907355528</v>
      </c>
    </row>
    <row r="94" spans="2:8" x14ac:dyDescent="0.35">
      <c r="B94" s="9">
        <f t="shared" si="17"/>
        <v>80</v>
      </c>
      <c r="C94" s="60">
        <f t="shared" si="19"/>
        <v>7</v>
      </c>
      <c r="D94" s="61">
        <f t="shared" si="13"/>
        <v>20150761.907355528</v>
      </c>
      <c r="E94" s="62">
        <f t="shared" si="14"/>
        <v>114225.95765300129</v>
      </c>
      <c r="F94" s="103">
        <f t="shared" si="15"/>
        <v>72710.665882374524</v>
      </c>
      <c r="G94" s="103">
        <f t="shared" si="18"/>
        <v>41515.291770626762</v>
      </c>
      <c r="H94" s="10">
        <f t="shared" si="16"/>
        <v>20109246.615584902</v>
      </c>
    </row>
    <row r="95" spans="2:8" x14ac:dyDescent="0.35">
      <c r="B95" s="9">
        <f t="shared" si="17"/>
        <v>81</v>
      </c>
      <c r="C95" s="60">
        <f t="shared" si="19"/>
        <v>7</v>
      </c>
      <c r="D95" s="61">
        <f t="shared" si="13"/>
        <v>20109246.615584902</v>
      </c>
      <c r="E95" s="62">
        <f t="shared" si="14"/>
        <v>114225.95765300129</v>
      </c>
      <c r="F95" s="103">
        <f t="shared" si="15"/>
        <v>72560.864871235521</v>
      </c>
      <c r="G95" s="103">
        <f t="shared" si="18"/>
        <v>41665.092781765765</v>
      </c>
      <c r="H95" s="10">
        <f t="shared" si="16"/>
        <v>20067581.522803135</v>
      </c>
    </row>
    <row r="96" spans="2:8" x14ac:dyDescent="0.35">
      <c r="B96" s="9">
        <f t="shared" si="17"/>
        <v>82</v>
      </c>
      <c r="C96" s="60">
        <f t="shared" si="19"/>
        <v>7</v>
      </c>
      <c r="D96" s="61">
        <f t="shared" si="13"/>
        <v>20067581.522803135</v>
      </c>
      <c r="E96" s="62">
        <f t="shared" si="14"/>
        <v>114225.95765300129</v>
      </c>
      <c r="F96" s="103">
        <f t="shared" si="15"/>
        <v>72410.52332811465</v>
      </c>
      <c r="G96" s="103">
        <f t="shared" si="18"/>
        <v>41815.434324886635</v>
      </c>
      <c r="H96" s="10">
        <f t="shared" si="16"/>
        <v>20025766.088478249</v>
      </c>
    </row>
    <row r="97" spans="2:8" x14ac:dyDescent="0.35">
      <c r="B97" s="9">
        <f t="shared" si="17"/>
        <v>83</v>
      </c>
      <c r="C97" s="60">
        <f t="shared" si="19"/>
        <v>7</v>
      </c>
      <c r="D97" s="61">
        <f t="shared" si="13"/>
        <v>20025766.088478249</v>
      </c>
      <c r="E97" s="62">
        <f t="shared" si="14"/>
        <v>114225.95765300129</v>
      </c>
      <c r="F97" s="103">
        <f t="shared" si="15"/>
        <v>72259.639302592346</v>
      </c>
      <c r="G97" s="103">
        <f t="shared" si="18"/>
        <v>41966.318350408939</v>
      </c>
      <c r="H97" s="10">
        <f t="shared" si="16"/>
        <v>19983799.77012784</v>
      </c>
    </row>
    <row r="98" spans="2:8" x14ac:dyDescent="0.35">
      <c r="B98" s="9">
        <f t="shared" si="17"/>
        <v>84</v>
      </c>
      <c r="C98" s="60">
        <f t="shared" si="19"/>
        <v>7</v>
      </c>
      <c r="D98" s="61">
        <f t="shared" si="13"/>
        <v>19983799.77012784</v>
      </c>
      <c r="E98" s="62">
        <f t="shared" si="14"/>
        <v>114225.95765300129</v>
      </c>
      <c r="F98" s="103">
        <f t="shared" si="15"/>
        <v>72108.210837211285</v>
      </c>
      <c r="G98" s="103">
        <f t="shared" si="18"/>
        <v>42117.74681579</v>
      </c>
      <c r="H98" s="10">
        <f t="shared" si="16"/>
        <v>19941682.023312051</v>
      </c>
    </row>
    <row r="99" spans="2:8" x14ac:dyDescent="0.35">
      <c r="B99" s="9">
        <f t="shared" si="17"/>
        <v>85</v>
      </c>
      <c r="C99" s="60">
        <f t="shared" si="19"/>
        <v>8</v>
      </c>
      <c r="D99" s="61">
        <f t="shared" si="13"/>
        <v>19941682.023312051</v>
      </c>
      <c r="E99" s="62">
        <f t="shared" si="14"/>
        <v>114225.95765300129</v>
      </c>
      <c r="F99" s="103">
        <f t="shared" si="15"/>
        <v>71956.235967450979</v>
      </c>
      <c r="G99" s="103">
        <f t="shared" si="18"/>
        <v>42269.721685550307</v>
      </c>
      <c r="H99" s="10">
        <f t="shared" si="16"/>
        <v>19899412.3016265</v>
      </c>
    </row>
    <row r="100" spans="2:8" x14ac:dyDescent="0.35">
      <c r="B100" s="9">
        <f t="shared" si="17"/>
        <v>86</v>
      </c>
      <c r="C100" s="60">
        <f t="shared" si="19"/>
        <v>8</v>
      </c>
      <c r="D100" s="61">
        <f t="shared" si="13"/>
        <v>19899412.3016265</v>
      </c>
      <c r="E100" s="62">
        <f t="shared" si="14"/>
        <v>114225.95765300129</v>
      </c>
      <c r="F100" s="103">
        <f t="shared" si="15"/>
        <v>71803.712721702279</v>
      </c>
      <c r="G100" s="103">
        <f t="shared" si="18"/>
        <v>42422.244931299007</v>
      </c>
      <c r="H100" s="10">
        <f t="shared" si="16"/>
        <v>19856990.056695201</v>
      </c>
    </row>
    <row r="101" spans="2:8" x14ac:dyDescent="0.35">
      <c r="B101" s="9">
        <f t="shared" si="17"/>
        <v>87</v>
      </c>
      <c r="C101" s="60">
        <f t="shared" si="19"/>
        <v>8</v>
      </c>
      <c r="D101" s="61">
        <f t="shared" si="13"/>
        <v>19856990.056695201</v>
      </c>
      <c r="E101" s="62">
        <f t="shared" si="14"/>
        <v>114225.95765300129</v>
      </c>
      <c r="F101" s="103">
        <f t="shared" si="15"/>
        <v>71650.639121241838</v>
      </c>
      <c r="G101" s="103">
        <f t="shared" si="18"/>
        <v>42575.318531759447</v>
      </c>
      <c r="H101" s="10">
        <f t="shared" si="16"/>
        <v>19814414.738163441</v>
      </c>
    </row>
    <row r="102" spans="2:8" x14ac:dyDescent="0.35">
      <c r="B102" s="9">
        <f t="shared" si="17"/>
        <v>88</v>
      </c>
      <c r="C102" s="60">
        <f t="shared" si="19"/>
        <v>8</v>
      </c>
      <c r="D102" s="61">
        <f t="shared" si="13"/>
        <v>19814414.738163441</v>
      </c>
      <c r="E102" s="62">
        <f t="shared" si="14"/>
        <v>114225.95765300129</v>
      </c>
      <c r="F102" s="103">
        <f t="shared" si="15"/>
        <v>71497.013180206413</v>
      </c>
      <c r="G102" s="103">
        <f t="shared" si="18"/>
        <v>42728.944472794872</v>
      </c>
      <c r="H102" s="10">
        <f t="shared" si="16"/>
        <v>19771685.793690648</v>
      </c>
    </row>
    <row r="103" spans="2:8" x14ac:dyDescent="0.35">
      <c r="B103" s="9">
        <f t="shared" si="17"/>
        <v>89</v>
      </c>
      <c r="C103" s="60">
        <f t="shared" si="19"/>
        <v>8</v>
      </c>
      <c r="D103" s="61">
        <f t="shared" si="13"/>
        <v>19771685.793690648</v>
      </c>
      <c r="E103" s="62">
        <f t="shared" si="14"/>
        <v>114225.95765300129</v>
      </c>
      <c r="F103" s="103">
        <f t="shared" si="15"/>
        <v>71342.832905567091</v>
      </c>
      <c r="G103" s="103">
        <f t="shared" si="18"/>
        <v>42883.124747434194</v>
      </c>
      <c r="H103" s="10">
        <f t="shared" si="16"/>
        <v>19728802.668943215</v>
      </c>
    </row>
    <row r="104" spans="2:8" x14ac:dyDescent="0.35">
      <c r="B104" s="9">
        <f t="shared" si="17"/>
        <v>90</v>
      </c>
      <c r="C104" s="60">
        <f t="shared" si="19"/>
        <v>8</v>
      </c>
      <c r="D104" s="61">
        <f t="shared" si="13"/>
        <v>19728802.668943215</v>
      </c>
      <c r="E104" s="62">
        <f t="shared" si="14"/>
        <v>114225.95765300129</v>
      </c>
      <c r="F104" s="103">
        <f t="shared" si="15"/>
        <v>71188.096297103431</v>
      </c>
      <c r="G104" s="103">
        <f t="shared" si="18"/>
        <v>43037.861355897854</v>
      </c>
      <c r="H104" s="10">
        <f t="shared" si="16"/>
        <v>19685764.807587318</v>
      </c>
    </row>
    <row r="105" spans="2:8" x14ac:dyDescent="0.35">
      <c r="B105" s="9">
        <f t="shared" si="17"/>
        <v>91</v>
      </c>
      <c r="C105" s="60">
        <f t="shared" si="19"/>
        <v>8</v>
      </c>
      <c r="D105" s="61">
        <f t="shared" si="13"/>
        <v>19685764.807587318</v>
      </c>
      <c r="E105" s="62">
        <f t="shared" si="14"/>
        <v>114225.95765300129</v>
      </c>
      <c r="F105" s="103">
        <f t="shared" si="15"/>
        <v>71032.801347377565</v>
      </c>
      <c r="G105" s="103">
        <f t="shared" si="18"/>
        <v>43193.156305623721</v>
      </c>
      <c r="H105" s="10">
        <f t="shared" si="16"/>
        <v>19642571.651281696</v>
      </c>
    </row>
    <row r="106" spans="2:8" x14ac:dyDescent="0.35">
      <c r="B106" s="9">
        <f t="shared" si="17"/>
        <v>92</v>
      </c>
      <c r="C106" s="60">
        <f t="shared" si="19"/>
        <v>8</v>
      </c>
      <c r="D106" s="61">
        <f t="shared" si="13"/>
        <v>19642571.651281696</v>
      </c>
      <c r="E106" s="62">
        <f t="shared" si="14"/>
        <v>114225.95765300129</v>
      </c>
      <c r="F106" s="103">
        <f t="shared" si="15"/>
        <v>70876.946041708114</v>
      </c>
      <c r="G106" s="103">
        <f t="shared" si="18"/>
        <v>43349.011611293172</v>
      </c>
      <c r="H106" s="10">
        <f t="shared" si="16"/>
        <v>19599222.639670402</v>
      </c>
    </row>
    <row r="107" spans="2:8" x14ac:dyDescent="0.35">
      <c r="B107" s="9">
        <f t="shared" si="17"/>
        <v>93</v>
      </c>
      <c r="C107" s="60">
        <f t="shared" si="19"/>
        <v>8</v>
      </c>
      <c r="D107" s="61">
        <f t="shared" si="13"/>
        <v>19599222.639670402</v>
      </c>
      <c r="E107" s="62">
        <f t="shared" si="14"/>
        <v>114225.95765300129</v>
      </c>
      <c r="F107" s="103">
        <f t="shared" si="15"/>
        <v>70720.528358144031</v>
      </c>
      <c r="G107" s="103">
        <f t="shared" si="18"/>
        <v>43505.429294857255</v>
      </c>
      <c r="H107" s="10">
        <f t="shared" si="16"/>
        <v>19555717.210375544</v>
      </c>
    </row>
    <row r="108" spans="2:8" x14ac:dyDescent="0.35">
      <c r="B108" s="9">
        <f t="shared" si="17"/>
        <v>94</v>
      </c>
      <c r="C108" s="60">
        <f t="shared" si="19"/>
        <v>8</v>
      </c>
      <c r="D108" s="61">
        <f t="shared" si="13"/>
        <v>19555717.210375544</v>
      </c>
      <c r="E108" s="62">
        <f t="shared" si="14"/>
        <v>114225.95765300129</v>
      </c>
      <c r="F108" s="103">
        <f t="shared" si="15"/>
        <v>70563.546267438418</v>
      </c>
      <c r="G108" s="103">
        <f t="shared" si="18"/>
        <v>43662.411385562868</v>
      </c>
      <c r="H108" s="10">
        <f t="shared" si="16"/>
        <v>19512054.798989981</v>
      </c>
    </row>
    <row r="109" spans="2:8" x14ac:dyDescent="0.35">
      <c r="B109" s="9">
        <f t="shared" si="17"/>
        <v>95</v>
      </c>
      <c r="C109" s="60">
        <f t="shared" si="19"/>
        <v>8</v>
      </c>
      <c r="D109" s="61">
        <f t="shared" si="13"/>
        <v>19512054.798989981</v>
      </c>
      <c r="E109" s="62">
        <f t="shared" si="14"/>
        <v>114225.95765300129</v>
      </c>
      <c r="F109" s="103">
        <f t="shared" si="15"/>
        <v>70405.997733022174</v>
      </c>
      <c r="G109" s="103">
        <f t="shared" si="18"/>
        <v>43819.959919979112</v>
      </c>
      <c r="H109" s="10">
        <f t="shared" si="16"/>
        <v>19468234.839070003</v>
      </c>
    </row>
    <row r="110" spans="2:8" x14ac:dyDescent="0.35">
      <c r="B110" s="9">
        <f t="shared" si="17"/>
        <v>96</v>
      </c>
      <c r="C110" s="60">
        <f t="shared" si="19"/>
        <v>8</v>
      </c>
      <c r="D110" s="61">
        <f t="shared" si="13"/>
        <v>19468234.839070003</v>
      </c>
      <c r="E110" s="62">
        <f t="shared" si="14"/>
        <v>114225.95765300129</v>
      </c>
      <c r="F110" s="103">
        <f t="shared" si="15"/>
        <v>70247.880710977595</v>
      </c>
      <c r="G110" s="103">
        <f t="shared" si="18"/>
        <v>43978.07694202369</v>
      </c>
      <c r="H110" s="10">
        <f t="shared" si="16"/>
        <v>19424256.762127981</v>
      </c>
    </row>
    <row r="111" spans="2:8" x14ac:dyDescent="0.35">
      <c r="B111" s="9">
        <f t="shared" si="17"/>
        <v>97</v>
      </c>
      <c r="C111" s="60">
        <f t="shared" si="19"/>
        <v>9</v>
      </c>
      <c r="D111" s="61">
        <f t="shared" si="13"/>
        <v>19424256.762127981</v>
      </c>
      <c r="E111" s="62">
        <f t="shared" si="14"/>
        <v>114225.95765300129</v>
      </c>
      <c r="F111" s="103">
        <f t="shared" si="15"/>
        <v>70089.193150011793</v>
      </c>
      <c r="G111" s="103">
        <f t="shared" si="18"/>
        <v>44136.764502989492</v>
      </c>
      <c r="H111" s="10">
        <f t="shared" si="16"/>
        <v>19380119.99762499</v>
      </c>
    </row>
    <row r="112" spans="2:8" x14ac:dyDescent="0.35">
      <c r="B112" s="9">
        <f t="shared" si="17"/>
        <v>98</v>
      </c>
      <c r="C112" s="60">
        <f t="shared" si="19"/>
        <v>9</v>
      </c>
      <c r="D112" s="61">
        <f t="shared" si="13"/>
        <v>19380119.99762499</v>
      </c>
      <c r="E112" s="62">
        <f t="shared" si="14"/>
        <v>114225.95765300129</v>
      </c>
      <c r="F112" s="103">
        <f t="shared" si="15"/>
        <v>69929.932991430163</v>
      </c>
      <c r="G112" s="103">
        <f t="shared" si="18"/>
        <v>44296.024661571122</v>
      </c>
      <c r="H112" s="10">
        <f t="shared" si="16"/>
        <v>19335823.972963419</v>
      </c>
    </row>
    <row r="113" spans="2:8" x14ac:dyDescent="0.35">
      <c r="B113" s="9">
        <f t="shared" si="17"/>
        <v>99</v>
      </c>
      <c r="C113" s="60">
        <f t="shared" si="19"/>
        <v>9</v>
      </c>
      <c r="D113" s="61">
        <f t="shared" si="13"/>
        <v>19335823.972963419</v>
      </c>
      <c r="E113" s="62">
        <f t="shared" si="14"/>
        <v>114225.95765300129</v>
      </c>
      <c r="F113" s="103">
        <f t="shared" si="15"/>
        <v>69770.098169109668</v>
      </c>
      <c r="G113" s="103">
        <f t="shared" si="18"/>
        <v>44455.859483891618</v>
      </c>
      <c r="H113" s="10">
        <f t="shared" si="16"/>
        <v>19291368.113479529</v>
      </c>
    </row>
    <row r="114" spans="2:8" x14ac:dyDescent="0.35">
      <c r="B114" s="9">
        <f t="shared" si="17"/>
        <v>100</v>
      </c>
      <c r="C114" s="60">
        <f t="shared" si="19"/>
        <v>9</v>
      </c>
      <c r="D114" s="61">
        <f t="shared" si="13"/>
        <v>19291368.113479529</v>
      </c>
      <c r="E114" s="62">
        <f t="shared" si="14"/>
        <v>114225.95765300129</v>
      </c>
      <c r="F114" s="103">
        <f t="shared" si="15"/>
        <v>69609.686609471959</v>
      </c>
      <c r="G114" s="103">
        <f t="shared" si="18"/>
        <v>44616.271043529327</v>
      </c>
      <c r="H114" s="10">
        <f t="shared" si="16"/>
        <v>19246751.842436001</v>
      </c>
    </row>
    <row r="115" spans="2:8" x14ac:dyDescent="0.35">
      <c r="B115" s="9">
        <f t="shared" si="17"/>
        <v>101</v>
      </c>
      <c r="C115" s="60">
        <f t="shared" si="19"/>
        <v>9</v>
      </c>
      <c r="D115" s="61">
        <f t="shared" si="13"/>
        <v>19246751.842436001</v>
      </c>
      <c r="E115" s="62">
        <f t="shared" si="14"/>
        <v>114225.95765300129</v>
      </c>
      <c r="F115" s="103">
        <f t="shared" si="15"/>
        <v>69448.696231456561</v>
      </c>
      <c r="G115" s="103">
        <f t="shared" si="18"/>
        <v>44777.261421544725</v>
      </c>
      <c r="H115" s="10">
        <f t="shared" si="16"/>
        <v>19201974.581014454</v>
      </c>
    </row>
    <row r="116" spans="2:8" x14ac:dyDescent="0.35">
      <c r="B116" s="9">
        <f t="shared" si="17"/>
        <v>102</v>
      </c>
      <c r="C116" s="60">
        <f t="shared" si="19"/>
        <v>9</v>
      </c>
      <c r="D116" s="61">
        <f t="shared" si="13"/>
        <v>19201974.581014454</v>
      </c>
      <c r="E116" s="62">
        <f t="shared" si="14"/>
        <v>114225.95765300129</v>
      </c>
      <c r="F116" s="103">
        <f t="shared" si="15"/>
        <v>69287.124946493816</v>
      </c>
      <c r="G116" s="103">
        <f t="shared" si="18"/>
        <v>44938.83270650747</v>
      </c>
      <c r="H116" s="10">
        <f t="shared" si="16"/>
        <v>19157035.748307947</v>
      </c>
    </row>
    <row r="117" spans="2:8" x14ac:dyDescent="0.35">
      <c r="B117" s="9">
        <f t="shared" si="17"/>
        <v>103</v>
      </c>
      <c r="C117" s="60">
        <f t="shared" si="19"/>
        <v>9</v>
      </c>
      <c r="D117" s="61">
        <f t="shared" si="13"/>
        <v>19157035.748307947</v>
      </c>
      <c r="E117" s="62">
        <f t="shared" si="14"/>
        <v>114225.95765300129</v>
      </c>
      <c r="F117" s="103">
        <f t="shared" si="15"/>
        <v>69124.970658477832</v>
      </c>
      <c r="G117" s="103">
        <f t="shared" si="18"/>
        <v>45100.986994523453</v>
      </c>
      <c r="H117" s="10">
        <f t="shared" si="16"/>
        <v>19111934.761313424</v>
      </c>
    </row>
    <row r="118" spans="2:8" x14ac:dyDescent="0.35">
      <c r="B118" s="9">
        <f t="shared" si="17"/>
        <v>104</v>
      </c>
      <c r="C118" s="60">
        <f t="shared" si="19"/>
        <v>9</v>
      </c>
      <c r="D118" s="61">
        <f t="shared" si="13"/>
        <v>19111934.761313424</v>
      </c>
      <c r="E118" s="62">
        <f t="shared" si="14"/>
        <v>114225.95765300129</v>
      </c>
      <c r="F118" s="103">
        <f t="shared" si="15"/>
        <v>68962.231263739261</v>
      </c>
      <c r="G118" s="103">
        <f t="shared" si="18"/>
        <v>45263.726389262025</v>
      </c>
      <c r="H118" s="10">
        <f t="shared" si="16"/>
        <v>19066671.034924161</v>
      </c>
    </row>
    <row r="119" spans="2:8" x14ac:dyDescent="0.35">
      <c r="B119" s="9">
        <f t="shared" si="17"/>
        <v>105</v>
      </c>
      <c r="C119" s="60">
        <f t="shared" si="19"/>
        <v>9</v>
      </c>
      <c r="D119" s="61">
        <f t="shared" si="13"/>
        <v>19066671.034924161</v>
      </c>
      <c r="E119" s="62">
        <f t="shared" si="14"/>
        <v>114225.95765300129</v>
      </c>
      <c r="F119" s="103">
        <f t="shared" si="15"/>
        <v>68798.904651018005</v>
      </c>
      <c r="G119" s="103">
        <f t="shared" si="18"/>
        <v>45427.05300198328</v>
      </c>
      <c r="H119" s="10">
        <f t="shared" si="16"/>
        <v>19021243.981922176</v>
      </c>
    </row>
    <row r="120" spans="2:8" x14ac:dyDescent="0.35">
      <c r="B120" s="9">
        <f t="shared" si="17"/>
        <v>106</v>
      </c>
      <c r="C120" s="60">
        <f t="shared" si="19"/>
        <v>9</v>
      </c>
      <c r="D120" s="61">
        <f t="shared" si="13"/>
        <v>19021243.981922176</v>
      </c>
      <c r="E120" s="62">
        <f t="shared" si="14"/>
        <v>114225.95765300129</v>
      </c>
      <c r="F120" s="103">
        <f t="shared" si="15"/>
        <v>68634.988701435854</v>
      </c>
      <c r="G120" s="103">
        <f t="shared" si="18"/>
        <v>45590.968951565432</v>
      </c>
      <c r="H120" s="10">
        <f t="shared" si="16"/>
        <v>18975653.012970611</v>
      </c>
    </row>
    <row r="121" spans="2:8" x14ac:dyDescent="0.35">
      <c r="B121" s="9">
        <f t="shared" si="17"/>
        <v>107</v>
      </c>
      <c r="C121" s="60">
        <f t="shared" si="19"/>
        <v>9</v>
      </c>
      <c r="D121" s="61">
        <f t="shared" si="13"/>
        <v>18975653.012970611</v>
      </c>
      <c r="E121" s="62">
        <f t="shared" si="14"/>
        <v>114225.95765300129</v>
      </c>
      <c r="F121" s="103">
        <f t="shared" si="15"/>
        <v>68470.48128846896</v>
      </c>
      <c r="G121" s="103">
        <f t="shared" si="18"/>
        <v>45755.476364532326</v>
      </c>
      <c r="H121" s="10">
        <f t="shared" si="16"/>
        <v>18929897.536606081</v>
      </c>
    </row>
    <row r="122" spans="2:8" x14ac:dyDescent="0.35">
      <c r="B122" s="9">
        <f t="shared" si="17"/>
        <v>108</v>
      </c>
      <c r="C122" s="60">
        <f t="shared" si="19"/>
        <v>9</v>
      </c>
      <c r="D122" s="61">
        <f t="shared" si="13"/>
        <v>18929897.536606081</v>
      </c>
      <c r="E122" s="62">
        <f t="shared" si="14"/>
        <v>114225.95765300129</v>
      </c>
      <c r="F122" s="103">
        <f t="shared" si="15"/>
        <v>68305.380277920267</v>
      </c>
      <c r="G122" s="103">
        <f t="shared" si="18"/>
        <v>45920.577375081019</v>
      </c>
      <c r="H122" s="10">
        <f t="shared" si="16"/>
        <v>18883976.959231</v>
      </c>
    </row>
    <row r="123" spans="2:8" x14ac:dyDescent="0.35">
      <c r="B123" s="9">
        <f t="shared" si="17"/>
        <v>109</v>
      </c>
      <c r="C123" s="60">
        <f t="shared" si="19"/>
        <v>10</v>
      </c>
      <c r="D123" s="61">
        <f t="shared" si="13"/>
        <v>18883976.959231</v>
      </c>
      <c r="E123" s="62">
        <f t="shared" si="14"/>
        <v>114225.95765300129</v>
      </c>
      <c r="F123" s="103">
        <f t="shared" si="15"/>
        <v>68139.683527891859</v>
      </c>
      <c r="G123" s="103">
        <f t="shared" si="18"/>
        <v>46086.274125109427</v>
      </c>
      <c r="H123" s="10">
        <f t="shared" si="16"/>
        <v>18837890.68510589</v>
      </c>
    </row>
    <row r="124" spans="2:8" x14ac:dyDescent="0.35">
      <c r="B124" s="9">
        <f t="shared" si="17"/>
        <v>110</v>
      </c>
      <c r="C124" s="60">
        <f t="shared" si="19"/>
        <v>10</v>
      </c>
      <c r="D124" s="61">
        <f t="shared" si="13"/>
        <v>18837890.68510589</v>
      </c>
      <c r="E124" s="62">
        <f t="shared" si="14"/>
        <v>114225.95765300129</v>
      </c>
      <c r="F124" s="103">
        <f t="shared" si="15"/>
        <v>67973.388888757079</v>
      </c>
      <c r="G124" s="103">
        <f t="shared" si="18"/>
        <v>46252.568764244206</v>
      </c>
      <c r="H124" s="10">
        <f t="shared" si="16"/>
        <v>18791638.116341647</v>
      </c>
    </row>
    <row r="125" spans="2:8" x14ac:dyDescent="0.35">
      <c r="B125" s="9">
        <f t="shared" si="17"/>
        <v>111</v>
      </c>
      <c r="C125" s="60">
        <f t="shared" si="19"/>
        <v>10</v>
      </c>
      <c r="D125" s="61">
        <f t="shared" si="13"/>
        <v>18791638.116341647</v>
      </c>
      <c r="E125" s="62">
        <f t="shared" si="14"/>
        <v>114225.95765300129</v>
      </c>
      <c r="F125" s="103">
        <f t="shared" si="15"/>
        <v>67806.494203132766</v>
      </c>
      <c r="G125" s="103">
        <f t="shared" si="18"/>
        <v>46419.463449868519</v>
      </c>
      <c r="H125" s="10">
        <f t="shared" si="16"/>
        <v>18745218.652891777</v>
      </c>
    </row>
    <row r="126" spans="2:8" x14ac:dyDescent="0.35">
      <c r="B126" s="9">
        <f t="shared" si="17"/>
        <v>112</v>
      </c>
      <c r="C126" s="60">
        <f t="shared" si="19"/>
        <v>10</v>
      </c>
      <c r="D126" s="61">
        <f t="shared" si="13"/>
        <v>18745218.652891777</v>
      </c>
      <c r="E126" s="62">
        <f t="shared" si="14"/>
        <v>114225.95765300129</v>
      </c>
      <c r="F126" s="103">
        <f t="shared" si="15"/>
        <v>67638.997305851168</v>
      </c>
      <c r="G126" s="103">
        <f t="shared" si="18"/>
        <v>46586.960347150118</v>
      </c>
      <c r="H126" s="10">
        <f t="shared" si="16"/>
        <v>18698631.692544628</v>
      </c>
    </row>
    <row r="127" spans="2:8" x14ac:dyDescent="0.35">
      <c r="B127" s="9">
        <f t="shared" si="17"/>
        <v>113</v>
      </c>
      <c r="C127" s="60">
        <f t="shared" si="19"/>
        <v>10</v>
      </c>
      <c r="D127" s="61">
        <f t="shared" si="13"/>
        <v>18698631.692544628</v>
      </c>
      <c r="E127" s="62">
        <f t="shared" si="14"/>
        <v>114225.95765300129</v>
      </c>
      <c r="F127" s="103">
        <f t="shared" si="15"/>
        <v>67470.896023931869</v>
      </c>
      <c r="G127" s="103">
        <f t="shared" si="18"/>
        <v>46755.061629069416</v>
      </c>
      <c r="H127" s="10">
        <f t="shared" si="16"/>
        <v>18651876.63091556</v>
      </c>
    </row>
    <row r="128" spans="2:8" x14ac:dyDescent="0.35">
      <c r="B128" s="9">
        <f t="shared" si="17"/>
        <v>114</v>
      </c>
      <c r="C128" s="60">
        <f t="shared" si="19"/>
        <v>10</v>
      </c>
      <c r="D128" s="61">
        <f t="shared" si="13"/>
        <v>18651876.63091556</v>
      </c>
      <c r="E128" s="62">
        <f t="shared" si="14"/>
        <v>114225.95765300129</v>
      </c>
      <c r="F128" s="103">
        <f t="shared" si="15"/>
        <v>67302.188176553638</v>
      </c>
      <c r="G128" s="103">
        <f t="shared" si="18"/>
        <v>46923.769476447647</v>
      </c>
      <c r="H128" s="10">
        <f t="shared" si="16"/>
        <v>18604952.861439113</v>
      </c>
    </row>
    <row r="129" spans="2:8" x14ac:dyDescent="0.35">
      <c r="B129" s="9">
        <f t="shared" si="17"/>
        <v>115</v>
      </c>
      <c r="C129" s="60">
        <f t="shared" si="19"/>
        <v>10</v>
      </c>
      <c r="D129" s="61">
        <f t="shared" si="13"/>
        <v>18604952.861439113</v>
      </c>
      <c r="E129" s="62">
        <f t="shared" si="14"/>
        <v>114225.95765300129</v>
      </c>
      <c r="F129" s="103">
        <f t="shared" si="15"/>
        <v>67132.871575026133</v>
      </c>
      <c r="G129" s="103">
        <f t="shared" si="18"/>
        <v>47093.086077975153</v>
      </c>
      <c r="H129" s="10">
        <f t="shared" si="16"/>
        <v>18557859.775361136</v>
      </c>
    </row>
    <row r="130" spans="2:8" x14ac:dyDescent="0.35">
      <c r="B130" s="9">
        <f t="shared" si="17"/>
        <v>116</v>
      </c>
      <c r="C130" s="60">
        <f t="shared" si="19"/>
        <v>10</v>
      </c>
      <c r="D130" s="61">
        <f t="shared" si="13"/>
        <v>18557859.775361136</v>
      </c>
      <c r="E130" s="62">
        <f t="shared" si="14"/>
        <v>114225.95765300129</v>
      </c>
      <c r="F130" s="103">
        <f t="shared" si="15"/>
        <v>66962.944022761425</v>
      </c>
      <c r="G130" s="103">
        <f t="shared" si="18"/>
        <v>47263.013630239861</v>
      </c>
      <c r="H130" s="10">
        <f t="shared" si="16"/>
        <v>18510596.761730894</v>
      </c>
    </row>
    <row r="131" spans="2:8" x14ac:dyDescent="0.35">
      <c r="B131" s="9">
        <f t="shared" si="17"/>
        <v>117</v>
      </c>
      <c r="C131" s="60">
        <f t="shared" si="19"/>
        <v>10</v>
      </c>
      <c r="D131" s="61">
        <f t="shared" si="13"/>
        <v>18510596.761730894</v>
      </c>
      <c r="E131" s="62">
        <f t="shared" si="14"/>
        <v>114225.95765300129</v>
      </c>
      <c r="F131" s="103">
        <f t="shared" si="15"/>
        <v>66792.40331524564</v>
      </c>
      <c r="G131" s="103">
        <f t="shared" si="18"/>
        <v>47433.554337755646</v>
      </c>
      <c r="H131" s="10">
        <f t="shared" si="16"/>
        <v>18463163.20739314</v>
      </c>
    </row>
    <row r="132" spans="2:8" x14ac:dyDescent="0.35">
      <c r="B132" s="9">
        <f t="shared" si="17"/>
        <v>118</v>
      </c>
      <c r="C132" s="60">
        <f t="shared" si="19"/>
        <v>10</v>
      </c>
      <c r="D132" s="61">
        <f t="shared" si="13"/>
        <v>18463163.20739314</v>
      </c>
      <c r="E132" s="62">
        <f t="shared" si="14"/>
        <v>114225.95765300129</v>
      </c>
      <c r="F132" s="103">
        <f t="shared" si="15"/>
        <v>66621.247240010242</v>
      </c>
      <c r="G132" s="103">
        <f t="shared" si="18"/>
        <v>47604.710412991044</v>
      </c>
      <c r="H132" s="10">
        <f t="shared" si="16"/>
        <v>18415558.496980149</v>
      </c>
    </row>
    <row r="133" spans="2:8" x14ac:dyDescent="0.35">
      <c r="B133" s="9">
        <f t="shared" si="17"/>
        <v>119</v>
      </c>
      <c r="C133" s="60">
        <f t="shared" si="19"/>
        <v>10</v>
      </c>
      <c r="D133" s="61">
        <f t="shared" si="13"/>
        <v>18415558.496980149</v>
      </c>
      <c r="E133" s="62">
        <f t="shared" si="14"/>
        <v>114225.95765300129</v>
      </c>
      <c r="F133" s="103">
        <f t="shared" si="15"/>
        <v>66449.47357660337</v>
      </c>
      <c r="G133" s="103">
        <f t="shared" si="18"/>
        <v>47776.484076397915</v>
      </c>
      <c r="H133" s="10">
        <f t="shared" si="16"/>
        <v>18367782.01290375</v>
      </c>
    </row>
    <row r="134" spans="2:8" x14ac:dyDescent="0.35">
      <c r="B134" s="9">
        <f t="shared" si="17"/>
        <v>120</v>
      </c>
      <c r="C134" s="60">
        <f t="shared" si="19"/>
        <v>10</v>
      </c>
      <c r="D134" s="61">
        <f t="shared" si="13"/>
        <v>18367782.01290375</v>
      </c>
      <c r="E134" s="62">
        <f t="shared" si="14"/>
        <v>114225.95765300129</v>
      </c>
      <c r="F134" s="103">
        <f t="shared" si="15"/>
        <v>66277.080096561025</v>
      </c>
      <c r="G134" s="103">
        <f t="shared" si="18"/>
        <v>47948.87755644026</v>
      </c>
      <c r="H134" s="10">
        <f t="shared" si="16"/>
        <v>18319833.13534731</v>
      </c>
    </row>
    <row r="135" spans="2:8" x14ac:dyDescent="0.35">
      <c r="B135" s="9">
        <f t="shared" si="17"/>
        <v>121</v>
      </c>
      <c r="C135" s="60">
        <f t="shared" si="19"/>
        <v>11</v>
      </c>
      <c r="D135" s="61">
        <f t="shared" si="13"/>
        <v>18319833.13534731</v>
      </c>
      <c r="E135" s="62">
        <f t="shared" si="14"/>
        <v>114225.95765300129</v>
      </c>
      <c r="F135" s="103">
        <f t="shared" si="15"/>
        <v>66104.064563378211</v>
      </c>
      <c r="G135" s="103">
        <f t="shared" si="18"/>
        <v>48121.893089623074</v>
      </c>
      <c r="H135" s="10">
        <f t="shared" si="16"/>
        <v>18271711.242257688</v>
      </c>
    </row>
    <row r="136" spans="2:8" x14ac:dyDescent="0.35">
      <c r="B136" s="9">
        <f t="shared" si="17"/>
        <v>122</v>
      </c>
      <c r="C136" s="60">
        <f t="shared" si="19"/>
        <v>11</v>
      </c>
      <c r="D136" s="61">
        <f t="shared" si="13"/>
        <v>18271711.242257688</v>
      </c>
      <c r="E136" s="62">
        <f t="shared" si="14"/>
        <v>114225.95765300129</v>
      </c>
      <c r="F136" s="103">
        <f t="shared" si="15"/>
        <v>65930.42473247982</v>
      </c>
      <c r="G136" s="103">
        <f t="shared" si="18"/>
        <v>48295.532920521466</v>
      </c>
      <c r="H136" s="10">
        <f t="shared" si="16"/>
        <v>18223415.709337167</v>
      </c>
    </row>
    <row r="137" spans="2:8" x14ac:dyDescent="0.35">
      <c r="B137" s="9">
        <f t="shared" si="17"/>
        <v>123</v>
      </c>
      <c r="C137" s="60">
        <f t="shared" si="19"/>
        <v>11</v>
      </c>
      <c r="D137" s="61">
        <f t="shared" si="13"/>
        <v>18223415.709337167</v>
      </c>
      <c r="E137" s="62">
        <f t="shared" si="14"/>
        <v>114225.95765300129</v>
      </c>
      <c r="F137" s="103">
        <f t="shared" si="15"/>
        <v>65756.158351191611</v>
      </c>
      <c r="G137" s="103">
        <f t="shared" si="18"/>
        <v>48469.799301809675</v>
      </c>
      <c r="H137" s="10">
        <f t="shared" si="16"/>
        <v>18174945.910035357</v>
      </c>
    </row>
    <row r="138" spans="2:8" x14ac:dyDescent="0.35">
      <c r="B138" s="9">
        <f t="shared" si="17"/>
        <v>124</v>
      </c>
      <c r="C138" s="60">
        <f t="shared" si="19"/>
        <v>11</v>
      </c>
      <c r="D138" s="61">
        <f t="shared" si="13"/>
        <v>18174945.910035357</v>
      </c>
      <c r="E138" s="62">
        <f t="shared" si="14"/>
        <v>114225.95765300129</v>
      </c>
      <c r="F138" s="103">
        <f t="shared" si="15"/>
        <v>65581.263158710906</v>
      </c>
      <c r="G138" s="103">
        <f t="shared" si="18"/>
        <v>48644.694494290379</v>
      </c>
      <c r="H138" s="10">
        <f t="shared" si="16"/>
        <v>18126301.215541065</v>
      </c>
    </row>
    <row r="139" spans="2:8" x14ac:dyDescent="0.35">
      <c r="B139" s="9">
        <f t="shared" si="17"/>
        <v>125</v>
      </c>
      <c r="C139" s="60">
        <f t="shared" si="19"/>
        <v>11</v>
      </c>
      <c r="D139" s="61">
        <f t="shared" si="13"/>
        <v>18126301.215541065</v>
      </c>
      <c r="E139" s="62">
        <f t="shared" si="14"/>
        <v>114225.95765300129</v>
      </c>
      <c r="F139" s="103">
        <f t="shared" si="15"/>
        <v>65405.736886077342</v>
      </c>
      <c r="G139" s="103">
        <f t="shared" si="18"/>
        <v>48820.220766923943</v>
      </c>
      <c r="H139" s="10">
        <f t="shared" si="16"/>
        <v>18077480.99477414</v>
      </c>
    </row>
    <row r="140" spans="2:8" x14ac:dyDescent="0.35">
      <c r="B140" s="9">
        <f t="shared" si="17"/>
        <v>126</v>
      </c>
      <c r="C140" s="60">
        <f t="shared" si="19"/>
        <v>11</v>
      </c>
      <c r="D140" s="61">
        <f t="shared" si="13"/>
        <v>18077480.99477414</v>
      </c>
      <c r="E140" s="62">
        <f t="shared" si="14"/>
        <v>114225.95765300129</v>
      </c>
      <c r="F140" s="103">
        <f t="shared" si="15"/>
        <v>65229.577256143355</v>
      </c>
      <c r="G140" s="103">
        <f t="shared" si="18"/>
        <v>48996.38039685793</v>
      </c>
      <c r="H140" s="10">
        <f t="shared" si="16"/>
        <v>18028484.614377283</v>
      </c>
    </row>
    <row r="141" spans="2:8" x14ac:dyDescent="0.35">
      <c r="B141" s="9">
        <f t="shared" si="17"/>
        <v>127</v>
      </c>
      <c r="C141" s="60">
        <f t="shared" si="19"/>
        <v>11</v>
      </c>
      <c r="D141" s="61">
        <f t="shared" si="13"/>
        <v>18028484.614377283</v>
      </c>
      <c r="E141" s="62">
        <f t="shared" si="14"/>
        <v>114225.95765300129</v>
      </c>
      <c r="F141" s="103">
        <f t="shared" si="15"/>
        <v>65052.781983544694</v>
      </c>
      <c r="G141" s="103">
        <f t="shared" si="18"/>
        <v>49173.175669456592</v>
      </c>
      <c r="H141" s="10">
        <f t="shared" si="16"/>
        <v>17979311.438707825</v>
      </c>
    </row>
    <row r="142" spans="2:8" x14ac:dyDescent="0.35">
      <c r="B142" s="9">
        <f t="shared" si="17"/>
        <v>128</v>
      </c>
      <c r="C142" s="60">
        <f t="shared" si="19"/>
        <v>11</v>
      </c>
      <c r="D142" s="61">
        <f t="shared" si="13"/>
        <v>17979311.438707825</v>
      </c>
      <c r="E142" s="62">
        <f t="shared" si="14"/>
        <v>114225.95765300129</v>
      </c>
      <c r="F142" s="103">
        <f t="shared" si="15"/>
        <v>64875.348774670732</v>
      </c>
      <c r="G142" s="103">
        <f t="shared" si="18"/>
        <v>49350.608878330553</v>
      </c>
      <c r="H142" s="10">
        <f t="shared" si="16"/>
        <v>17929960.829829495</v>
      </c>
    </row>
    <row r="143" spans="2:8" x14ac:dyDescent="0.35">
      <c r="B143" s="9">
        <f t="shared" si="17"/>
        <v>129</v>
      </c>
      <c r="C143" s="60">
        <f t="shared" si="19"/>
        <v>11</v>
      </c>
      <c r="D143" s="61">
        <f t="shared" si="13"/>
        <v>17929960.829829495</v>
      </c>
      <c r="E143" s="62">
        <f t="shared" si="14"/>
        <v>114225.95765300129</v>
      </c>
      <c r="F143" s="103">
        <f t="shared" si="15"/>
        <v>64697.275327634758</v>
      </c>
      <c r="G143" s="103">
        <f t="shared" si="18"/>
        <v>49528.682325366528</v>
      </c>
      <c r="H143" s="10">
        <f t="shared" si="16"/>
        <v>17880432.147504129</v>
      </c>
    </row>
    <row r="144" spans="2:8" x14ac:dyDescent="0.35">
      <c r="B144" s="9">
        <f t="shared" si="17"/>
        <v>130</v>
      </c>
      <c r="C144" s="60">
        <f t="shared" si="19"/>
        <v>11</v>
      </c>
      <c r="D144" s="61">
        <f t="shared" ref="D144:D207" si="20">H143</f>
        <v>17880432.147504129</v>
      </c>
      <c r="E144" s="62">
        <f t="shared" ref="E144:E207" si="21">$D$7</f>
        <v>114225.95765300129</v>
      </c>
      <c r="F144" s="103">
        <f t="shared" ref="F144:F207" si="22">D144*($D$4/12)</f>
        <v>64518.559332244062</v>
      </c>
      <c r="G144" s="103">
        <f t="shared" si="18"/>
        <v>49707.398320757224</v>
      </c>
      <c r="H144" s="10">
        <f t="shared" ref="H144:H207" si="23">D144-G144</f>
        <v>17830724.749183372</v>
      </c>
    </row>
    <row r="145" spans="2:8" x14ac:dyDescent="0.35">
      <c r="B145" s="9">
        <f t="shared" ref="B145:B208" si="24">B144+1</f>
        <v>131</v>
      </c>
      <c r="C145" s="60">
        <f t="shared" si="19"/>
        <v>11</v>
      </c>
      <c r="D145" s="61">
        <f t="shared" si="20"/>
        <v>17830724.749183372</v>
      </c>
      <c r="E145" s="62">
        <f t="shared" si="21"/>
        <v>114225.95765300129</v>
      </c>
      <c r="F145" s="103">
        <f t="shared" si="22"/>
        <v>64339.198469969997</v>
      </c>
      <c r="G145" s="103">
        <f t="shared" ref="G145:G208" si="25">E145-F145</f>
        <v>49886.759183031289</v>
      </c>
      <c r="H145" s="10">
        <f t="shared" si="23"/>
        <v>17780837.990000341</v>
      </c>
    </row>
    <row r="146" spans="2:8" x14ac:dyDescent="0.35">
      <c r="B146" s="9">
        <f t="shared" si="24"/>
        <v>132</v>
      </c>
      <c r="C146" s="60">
        <f t="shared" si="19"/>
        <v>11</v>
      </c>
      <c r="D146" s="61">
        <f t="shared" si="20"/>
        <v>17780837.990000341</v>
      </c>
      <c r="E146" s="62">
        <f t="shared" si="21"/>
        <v>114225.95765300129</v>
      </c>
      <c r="F146" s="103">
        <f t="shared" si="22"/>
        <v>64159.190413917895</v>
      </c>
      <c r="G146" s="103">
        <f t="shared" si="25"/>
        <v>50066.76723908339</v>
      </c>
      <c r="H146" s="10">
        <f t="shared" si="23"/>
        <v>17730771.222761258</v>
      </c>
    </row>
    <row r="147" spans="2:8" x14ac:dyDescent="0.35">
      <c r="B147" s="9">
        <f t="shared" si="24"/>
        <v>133</v>
      </c>
      <c r="C147" s="60">
        <f t="shared" si="19"/>
        <v>12</v>
      </c>
      <c r="D147" s="61">
        <f t="shared" si="20"/>
        <v>17730771.222761258</v>
      </c>
      <c r="E147" s="62">
        <f t="shared" si="21"/>
        <v>114225.95765300129</v>
      </c>
      <c r="F147" s="103">
        <f t="shared" si="22"/>
        <v>63978.532828796873</v>
      </c>
      <c r="G147" s="103">
        <f t="shared" si="25"/>
        <v>50247.424824204412</v>
      </c>
      <c r="H147" s="10">
        <f t="shared" si="23"/>
        <v>17680523.797937054</v>
      </c>
    </row>
    <row r="148" spans="2:8" x14ac:dyDescent="0.35">
      <c r="B148" s="9">
        <f t="shared" si="24"/>
        <v>134</v>
      </c>
      <c r="C148" s="60">
        <f t="shared" si="19"/>
        <v>12</v>
      </c>
      <c r="D148" s="61">
        <f t="shared" si="20"/>
        <v>17680523.797937054</v>
      </c>
      <c r="E148" s="62">
        <f t="shared" si="21"/>
        <v>114225.95765300129</v>
      </c>
      <c r="F148" s="103">
        <f t="shared" si="22"/>
        <v>63797.223370889536</v>
      </c>
      <c r="G148" s="103">
        <f t="shared" si="25"/>
        <v>50428.734282111749</v>
      </c>
      <c r="H148" s="10">
        <f t="shared" si="23"/>
        <v>17630095.063654944</v>
      </c>
    </row>
    <row r="149" spans="2:8" x14ac:dyDescent="0.35">
      <c r="B149" s="9">
        <f t="shared" si="24"/>
        <v>135</v>
      </c>
      <c r="C149" s="60">
        <f t="shared" si="19"/>
        <v>12</v>
      </c>
      <c r="D149" s="61">
        <f t="shared" si="20"/>
        <v>17630095.063654944</v>
      </c>
      <c r="E149" s="62">
        <f t="shared" si="21"/>
        <v>114225.95765300129</v>
      </c>
      <c r="F149" s="103">
        <f t="shared" si="22"/>
        <v>63615.259688021586</v>
      </c>
      <c r="G149" s="103">
        <f t="shared" si="25"/>
        <v>50610.697964979699</v>
      </c>
      <c r="H149" s="10">
        <f t="shared" si="23"/>
        <v>17579484.365689963</v>
      </c>
    </row>
    <row r="150" spans="2:8" x14ac:dyDescent="0.35">
      <c r="B150" s="9">
        <f t="shared" si="24"/>
        <v>136</v>
      </c>
      <c r="C150" s="60">
        <f t="shared" si="19"/>
        <v>12</v>
      </c>
      <c r="D150" s="61">
        <f t="shared" si="20"/>
        <v>17579484.365689963</v>
      </c>
      <c r="E150" s="62">
        <f t="shared" si="21"/>
        <v>114225.95765300129</v>
      </c>
      <c r="F150" s="103">
        <f t="shared" si="22"/>
        <v>63432.639419531282</v>
      </c>
      <c r="G150" s="103">
        <f t="shared" si="25"/>
        <v>50793.318233470003</v>
      </c>
      <c r="H150" s="10">
        <f t="shared" si="23"/>
        <v>17528691.047456492</v>
      </c>
    </row>
    <row r="151" spans="2:8" x14ac:dyDescent="0.35">
      <c r="B151" s="9">
        <f t="shared" si="24"/>
        <v>137</v>
      </c>
      <c r="C151" s="60">
        <f t="shared" si="19"/>
        <v>12</v>
      </c>
      <c r="D151" s="61">
        <f t="shared" si="20"/>
        <v>17528691.047456492</v>
      </c>
      <c r="E151" s="62">
        <f t="shared" si="21"/>
        <v>114225.95765300129</v>
      </c>
      <c r="F151" s="103">
        <f t="shared" si="22"/>
        <v>63249.360196238842</v>
      </c>
      <c r="G151" s="103">
        <f t="shared" si="25"/>
        <v>50976.597456762443</v>
      </c>
      <c r="H151" s="10">
        <f t="shared" si="23"/>
        <v>17477714.449999731</v>
      </c>
    </row>
    <row r="152" spans="2:8" x14ac:dyDescent="0.35">
      <c r="B152" s="9">
        <f t="shared" si="24"/>
        <v>138</v>
      </c>
      <c r="C152" s="60">
        <f t="shared" si="19"/>
        <v>12</v>
      </c>
      <c r="D152" s="61">
        <f t="shared" si="20"/>
        <v>17477714.449999731</v>
      </c>
      <c r="E152" s="62">
        <f t="shared" si="21"/>
        <v>114225.95765300129</v>
      </c>
      <c r="F152" s="103">
        <f t="shared" si="22"/>
        <v>63065.41964041569</v>
      </c>
      <c r="G152" s="103">
        <f t="shared" si="25"/>
        <v>51160.538012585595</v>
      </c>
      <c r="H152" s="10">
        <f t="shared" si="23"/>
        <v>17426553.911987145</v>
      </c>
    </row>
    <row r="153" spans="2:8" x14ac:dyDescent="0.35">
      <c r="B153" s="9">
        <f t="shared" si="24"/>
        <v>139</v>
      </c>
      <c r="C153" s="60">
        <f t="shared" si="19"/>
        <v>12</v>
      </c>
      <c r="D153" s="61">
        <f t="shared" si="20"/>
        <v>17426553.911987145</v>
      </c>
      <c r="E153" s="62">
        <f t="shared" si="21"/>
        <v>114225.95765300129</v>
      </c>
      <c r="F153" s="103">
        <f t="shared" si="22"/>
        <v>62880.81536575361</v>
      </c>
      <c r="G153" s="103">
        <f t="shared" si="25"/>
        <v>51345.142287247676</v>
      </c>
      <c r="H153" s="10">
        <f t="shared" si="23"/>
        <v>17375208.769699898</v>
      </c>
    </row>
    <row r="154" spans="2:8" x14ac:dyDescent="0.35">
      <c r="B154" s="9">
        <f t="shared" si="24"/>
        <v>140</v>
      </c>
      <c r="C154" s="60">
        <f t="shared" si="19"/>
        <v>12</v>
      </c>
      <c r="D154" s="61">
        <f t="shared" si="20"/>
        <v>17375208.769699898</v>
      </c>
      <c r="E154" s="62">
        <f t="shared" si="21"/>
        <v>114225.95765300129</v>
      </c>
      <c r="F154" s="103">
        <f t="shared" si="22"/>
        <v>62695.544977333797</v>
      </c>
      <c r="G154" s="103">
        <f t="shared" si="25"/>
        <v>51530.412675667489</v>
      </c>
      <c r="H154" s="10">
        <f t="shared" si="23"/>
        <v>17323678.35702423</v>
      </c>
    </row>
    <row r="155" spans="2:8" x14ac:dyDescent="0.35">
      <c r="B155" s="9">
        <f t="shared" si="24"/>
        <v>141</v>
      </c>
      <c r="C155" s="60">
        <f t="shared" si="19"/>
        <v>12</v>
      </c>
      <c r="D155" s="61">
        <f t="shared" si="20"/>
        <v>17323678.35702423</v>
      </c>
      <c r="E155" s="62">
        <f t="shared" si="21"/>
        <v>114225.95765300129</v>
      </c>
      <c r="F155" s="103">
        <f t="shared" si="22"/>
        <v>62509.606071595757</v>
      </c>
      <c r="G155" s="103">
        <f t="shared" si="25"/>
        <v>51716.351581405528</v>
      </c>
      <c r="H155" s="10">
        <f t="shared" si="23"/>
        <v>17271962.005442824</v>
      </c>
    </row>
    <row r="156" spans="2:8" x14ac:dyDescent="0.35">
      <c r="B156" s="9">
        <f t="shared" si="24"/>
        <v>142</v>
      </c>
      <c r="C156" s="60">
        <f t="shared" ref="C156:C219" si="26">C144+1</f>
        <v>12</v>
      </c>
      <c r="D156" s="61">
        <f t="shared" si="20"/>
        <v>17271962.005442824</v>
      </c>
      <c r="E156" s="62">
        <f t="shared" si="21"/>
        <v>114225.95765300129</v>
      </c>
      <c r="F156" s="103">
        <f t="shared" si="22"/>
        <v>62322.996236306186</v>
      </c>
      <c r="G156" s="103">
        <f t="shared" si="25"/>
        <v>51902.9614166951</v>
      </c>
      <c r="H156" s="10">
        <f t="shared" si="23"/>
        <v>17220059.044026129</v>
      </c>
    </row>
    <row r="157" spans="2:8" x14ac:dyDescent="0.35">
      <c r="B157" s="9">
        <f t="shared" si="24"/>
        <v>143</v>
      </c>
      <c r="C157" s="60">
        <f t="shared" si="26"/>
        <v>12</v>
      </c>
      <c r="D157" s="61">
        <f t="shared" si="20"/>
        <v>17220059.044026129</v>
      </c>
      <c r="E157" s="62">
        <f t="shared" si="21"/>
        <v>114225.95765300129</v>
      </c>
      <c r="F157" s="103">
        <f t="shared" si="22"/>
        <v>62135.713050527615</v>
      </c>
      <c r="G157" s="103">
        <f t="shared" si="25"/>
        <v>52090.244602473671</v>
      </c>
      <c r="H157" s="10">
        <f t="shared" si="23"/>
        <v>17167968.799423654</v>
      </c>
    </row>
    <row r="158" spans="2:8" x14ac:dyDescent="0.35">
      <c r="B158" s="9">
        <f t="shared" si="24"/>
        <v>144</v>
      </c>
      <c r="C158" s="60">
        <f t="shared" si="26"/>
        <v>12</v>
      </c>
      <c r="D158" s="61">
        <f t="shared" si="20"/>
        <v>17167968.799423654</v>
      </c>
      <c r="E158" s="62">
        <f t="shared" si="21"/>
        <v>114225.95765300129</v>
      </c>
      <c r="F158" s="103">
        <f t="shared" si="22"/>
        <v>61947.754084587017</v>
      </c>
      <c r="G158" s="103">
        <f t="shared" si="25"/>
        <v>52278.203568414268</v>
      </c>
      <c r="H158" s="10">
        <f t="shared" si="23"/>
        <v>17115690.59585524</v>
      </c>
    </row>
    <row r="159" spans="2:8" x14ac:dyDescent="0.35">
      <c r="B159" s="9">
        <f t="shared" si="24"/>
        <v>145</v>
      </c>
      <c r="C159" s="60">
        <f t="shared" si="26"/>
        <v>13</v>
      </c>
      <c r="D159" s="61">
        <f t="shared" si="20"/>
        <v>17115690.59585524</v>
      </c>
      <c r="E159" s="62">
        <f t="shared" si="21"/>
        <v>114225.95765300129</v>
      </c>
      <c r="F159" s="103">
        <f t="shared" si="22"/>
        <v>61759.116900044319</v>
      </c>
      <c r="G159" s="103">
        <f t="shared" si="25"/>
        <v>52466.840752956967</v>
      </c>
      <c r="H159" s="10">
        <f t="shared" si="23"/>
        <v>17063223.755102284</v>
      </c>
    </row>
    <row r="160" spans="2:8" x14ac:dyDescent="0.35">
      <c r="B160" s="9">
        <f t="shared" si="24"/>
        <v>146</v>
      </c>
      <c r="C160" s="60">
        <f t="shared" si="26"/>
        <v>13</v>
      </c>
      <c r="D160" s="61">
        <f t="shared" si="20"/>
        <v>17063223.755102284</v>
      </c>
      <c r="E160" s="62">
        <f t="shared" si="21"/>
        <v>114225.95765300129</v>
      </c>
      <c r="F160" s="103">
        <f t="shared" si="22"/>
        <v>61569.799049660738</v>
      </c>
      <c r="G160" s="103">
        <f t="shared" si="25"/>
        <v>52656.158603340547</v>
      </c>
      <c r="H160" s="10">
        <f t="shared" si="23"/>
        <v>17010567.596498944</v>
      </c>
    </row>
    <row r="161" spans="2:8" x14ac:dyDescent="0.35">
      <c r="B161" s="9">
        <f t="shared" si="24"/>
        <v>147</v>
      </c>
      <c r="C161" s="60">
        <f t="shared" si="26"/>
        <v>13</v>
      </c>
      <c r="D161" s="61">
        <f t="shared" si="20"/>
        <v>17010567.596498944</v>
      </c>
      <c r="E161" s="62">
        <f t="shared" si="21"/>
        <v>114225.95765300129</v>
      </c>
      <c r="F161" s="103">
        <f t="shared" si="22"/>
        <v>61379.798077367021</v>
      </c>
      <c r="G161" s="103">
        <f t="shared" si="25"/>
        <v>52846.159575634265</v>
      </c>
      <c r="H161" s="10">
        <f t="shared" si="23"/>
        <v>16957721.43692331</v>
      </c>
    </row>
    <row r="162" spans="2:8" x14ac:dyDescent="0.35">
      <c r="B162" s="9">
        <f t="shared" si="24"/>
        <v>148</v>
      </c>
      <c r="C162" s="60">
        <f t="shared" si="26"/>
        <v>13</v>
      </c>
      <c r="D162" s="61">
        <f t="shared" si="20"/>
        <v>16957721.43692331</v>
      </c>
      <c r="E162" s="62">
        <f t="shared" si="21"/>
        <v>114225.95765300129</v>
      </c>
      <c r="F162" s="103">
        <f t="shared" si="22"/>
        <v>61189.111518231606</v>
      </c>
      <c r="G162" s="103">
        <f t="shared" si="25"/>
        <v>53036.846134769679</v>
      </c>
      <c r="H162" s="10">
        <f t="shared" si="23"/>
        <v>16904684.590788539</v>
      </c>
    </row>
    <row r="163" spans="2:8" x14ac:dyDescent="0.35">
      <c r="B163" s="9">
        <f t="shared" si="24"/>
        <v>149</v>
      </c>
      <c r="C163" s="60">
        <f t="shared" si="26"/>
        <v>13</v>
      </c>
      <c r="D163" s="61">
        <f t="shared" si="20"/>
        <v>16904684.590788539</v>
      </c>
      <c r="E163" s="62">
        <f t="shared" si="21"/>
        <v>114225.95765300129</v>
      </c>
      <c r="F163" s="103">
        <f t="shared" si="22"/>
        <v>60997.736898428644</v>
      </c>
      <c r="G163" s="103">
        <f t="shared" si="25"/>
        <v>53228.220754572641</v>
      </c>
      <c r="H163" s="10">
        <f t="shared" si="23"/>
        <v>16851456.370033968</v>
      </c>
    </row>
    <row r="164" spans="2:8" x14ac:dyDescent="0.35">
      <c r="B164" s="9">
        <f t="shared" si="24"/>
        <v>150</v>
      </c>
      <c r="C164" s="60">
        <f t="shared" si="26"/>
        <v>13</v>
      </c>
      <c r="D164" s="61">
        <f t="shared" si="20"/>
        <v>16851456.370033968</v>
      </c>
      <c r="E164" s="62">
        <f t="shared" si="21"/>
        <v>114225.95765300129</v>
      </c>
      <c r="F164" s="103">
        <f t="shared" si="22"/>
        <v>60805.671735205899</v>
      </c>
      <c r="G164" s="103">
        <f t="shared" si="25"/>
        <v>53420.285917795387</v>
      </c>
      <c r="H164" s="10">
        <f t="shared" si="23"/>
        <v>16798036.084116172</v>
      </c>
    </row>
    <row r="165" spans="2:8" x14ac:dyDescent="0.35">
      <c r="B165" s="9">
        <f t="shared" si="24"/>
        <v>151</v>
      </c>
      <c r="C165" s="60">
        <f t="shared" si="26"/>
        <v>13</v>
      </c>
      <c r="D165" s="61">
        <f t="shared" si="20"/>
        <v>16798036.084116172</v>
      </c>
      <c r="E165" s="62">
        <f t="shared" si="21"/>
        <v>114225.95765300129</v>
      </c>
      <c r="F165" s="103">
        <f t="shared" si="22"/>
        <v>60612.913536852517</v>
      </c>
      <c r="G165" s="103">
        <f t="shared" si="25"/>
        <v>53613.044116148769</v>
      </c>
      <c r="H165" s="10">
        <f t="shared" si="23"/>
        <v>16744423.040000023</v>
      </c>
    </row>
    <row r="166" spans="2:8" x14ac:dyDescent="0.35">
      <c r="B166" s="9">
        <f t="shared" si="24"/>
        <v>152</v>
      </c>
      <c r="C166" s="60">
        <f t="shared" si="26"/>
        <v>13</v>
      </c>
      <c r="D166" s="61">
        <f t="shared" si="20"/>
        <v>16744423.040000023</v>
      </c>
      <c r="E166" s="62">
        <f t="shared" si="21"/>
        <v>114225.95765300129</v>
      </c>
      <c r="F166" s="103">
        <f t="shared" si="22"/>
        <v>60419.459802666752</v>
      </c>
      <c r="G166" s="103">
        <f t="shared" si="25"/>
        <v>53806.497850334534</v>
      </c>
      <c r="H166" s="10">
        <f t="shared" si="23"/>
        <v>16690616.542149689</v>
      </c>
    </row>
    <row r="167" spans="2:8" x14ac:dyDescent="0.35">
      <c r="B167" s="9">
        <f t="shared" si="24"/>
        <v>153</v>
      </c>
      <c r="C167" s="60">
        <f t="shared" si="26"/>
        <v>13</v>
      </c>
      <c r="D167" s="61">
        <f t="shared" si="20"/>
        <v>16690616.542149689</v>
      </c>
      <c r="E167" s="62">
        <f t="shared" si="21"/>
        <v>114225.95765300129</v>
      </c>
      <c r="F167" s="103">
        <f t="shared" si="22"/>
        <v>60225.308022923462</v>
      </c>
      <c r="G167" s="103">
        <f t="shared" si="25"/>
        <v>54000.649630077824</v>
      </c>
      <c r="H167" s="10">
        <f t="shared" si="23"/>
        <v>16636615.892519612</v>
      </c>
    </row>
    <row r="168" spans="2:8" x14ac:dyDescent="0.35">
      <c r="B168" s="9">
        <f t="shared" si="24"/>
        <v>154</v>
      </c>
      <c r="C168" s="60">
        <f t="shared" si="26"/>
        <v>13</v>
      </c>
      <c r="D168" s="61">
        <f t="shared" si="20"/>
        <v>16636615.892519612</v>
      </c>
      <c r="E168" s="62">
        <f t="shared" si="21"/>
        <v>114225.95765300129</v>
      </c>
      <c r="F168" s="103">
        <f t="shared" si="22"/>
        <v>60030.455678841594</v>
      </c>
      <c r="G168" s="103">
        <f t="shared" si="25"/>
        <v>54195.501974159692</v>
      </c>
      <c r="H168" s="10">
        <f t="shared" si="23"/>
        <v>16582420.390545452</v>
      </c>
    </row>
    <row r="169" spans="2:8" x14ac:dyDescent="0.35">
      <c r="B169" s="9">
        <f t="shared" si="24"/>
        <v>155</v>
      </c>
      <c r="C169" s="60">
        <f t="shared" si="26"/>
        <v>13</v>
      </c>
      <c r="D169" s="61">
        <f t="shared" si="20"/>
        <v>16582420.390545452</v>
      </c>
      <c r="E169" s="62">
        <f t="shared" si="21"/>
        <v>114225.95765300129</v>
      </c>
      <c r="F169" s="103">
        <f t="shared" si="22"/>
        <v>59834.900242551506</v>
      </c>
      <c r="G169" s="103">
        <f t="shared" si="25"/>
        <v>54391.057410449779</v>
      </c>
      <c r="H169" s="10">
        <f t="shared" si="23"/>
        <v>16528029.333135001</v>
      </c>
    </row>
    <row r="170" spans="2:8" x14ac:dyDescent="0.35">
      <c r="B170" s="9">
        <f t="shared" si="24"/>
        <v>156</v>
      </c>
      <c r="C170" s="60">
        <f t="shared" si="26"/>
        <v>13</v>
      </c>
      <c r="D170" s="61">
        <f t="shared" si="20"/>
        <v>16528029.333135001</v>
      </c>
      <c r="E170" s="62">
        <f t="shared" si="21"/>
        <v>114225.95765300129</v>
      </c>
      <c r="F170" s="103">
        <f t="shared" si="22"/>
        <v>59638.639177062127</v>
      </c>
      <c r="G170" s="103">
        <f t="shared" si="25"/>
        <v>54587.318475939159</v>
      </c>
      <c r="H170" s="10">
        <f t="shared" si="23"/>
        <v>16473442.014659062</v>
      </c>
    </row>
    <row r="171" spans="2:8" x14ac:dyDescent="0.35">
      <c r="B171" s="9">
        <f t="shared" si="24"/>
        <v>157</v>
      </c>
      <c r="C171" s="60">
        <f t="shared" si="26"/>
        <v>14</v>
      </c>
      <c r="D171" s="61">
        <f t="shared" si="20"/>
        <v>16473442.014659062</v>
      </c>
      <c r="E171" s="62">
        <f t="shared" si="21"/>
        <v>114225.95765300129</v>
      </c>
      <c r="F171" s="103">
        <f t="shared" si="22"/>
        <v>59441.669936228114</v>
      </c>
      <c r="G171" s="103">
        <f t="shared" si="25"/>
        <v>54784.287716773171</v>
      </c>
      <c r="H171" s="10">
        <f t="shared" si="23"/>
        <v>16418657.72694229</v>
      </c>
    </row>
    <row r="172" spans="2:8" x14ac:dyDescent="0.35">
      <c r="B172" s="9">
        <f t="shared" si="24"/>
        <v>158</v>
      </c>
      <c r="C172" s="60">
        <f t="shared" si="26"/>
        <v>14</v>
      </c>
      <c r="D172" s="61">
        <f t="shared" si="20"/>
        <v>16418657.72694229</v>
      </c>
      <c r="E172" s="62">
        <f t="shared" si="21"/>
        <v>114225.95765300129</v>
      </c>
      <c r="F172" s="103">
        <f t="shared" si="22"/>
        <v>59243.989964716762</v>
      </c>
      <c r="G172" s="103">
        <f t="shared" si="25"/>
        <v>54981.967688284523</v>
      </c>
      <c r="H172" s="10">
        <f t="shared" si="23"/>
        <v>16363675.759254005</v>
      </c>
    </row>
    <row r="173" spans="2:8" x14ac:dyDescent="0.35">
      <c r="B173" s="9">
        <f t="shared" si="24"/>
        <v>159</v>
      </c>
      <c r="C173" s="60">
        <f t="shared" si="26"/>
        <v>14</v>
      </c>
      <c r="D173" s="61">
        <f t="shared" si="20"/>
        <v>16363675.759254005</v>
      </c>
      <c r="E173" s="62">
        <f t="shared" si="21"/>
        <v>114225.95765300129</v>
      </c>
      <c r="F173" s="103">
        <f t="shared" si="22"/>
        <v>59045.596697974863</v>
      </c>
      <c r="G173" s="103">
        <f t="shared" si="25"/>
        <v>55180.360955026423</v>
      </c>
      <c r="H173" s="10">
        <f t="shared" si="23"/>
        <v>16308495.398298979</v>
      </c>
    </row>
    <row r="174" spans="2:8" x14ac:dyDescent="0.35">
      <c r="B174" s="9">
        <f t="shared" si="24"/>
        <v>160</v>
      </c>
      <c r="C174" s="60">
        <f t="shared" si="26"/>
        <v>14</v>
      </c>
      <c r="D174" s="61">
        <f t="shared" si="20"/>
        <v>16308495.398298979</v>
      </c>
      <c r="E174" s="62">
        <f t="shared" si="21"/>
        <v>114225.95765300129</v>
      </c>
      <c r="F174" s="103">
        <f t="shared" si="22"/>
        <v>58846.487562195478</v>
      </c>
      <c r="G174" s="103">
        <f t="shared" si="25"/>
        <v>55379.470090805808</v>
      </c>
      <c r="H174" s="10">
        <f t="shared" si="23"/>
        <v>16253115.928208172</v>
      </c>
    </row>
    <row r="175" spans="2:8" x14ac:dyDescent="0.35">
      <c r="B175" s="9">
        <f t="shared" si="24"/>
        <v>161</v>
      </c>
      <c r="C175" s="60">
        <f t="shared" si="26"/>
        <v>14</v>
      </c>
      <c r="D175" s="61">
        <f t="shared" si="20"/>
        <v>16253115.928208172</v>
      </c>
      <c r="E175" s="62">
        <f t="shared" si="21"/>
        <v>114225.95765300129</v>
      </c>
      <c r="F175" s="103">
        <f t="shared" si="22"/>
        <v>58646.659974284485</v>
      </c>
      <c r="G175" s="103">
        <f t="shared" si="25"/>
        <v>55579.297678716801</v>
      </c>
      <c r="H175" s="10">
        <f t="shared" si="23"/>
        <v>16197536.630529456</v>
      </c>
    </row>
    <row r="176" spans="2:8" x14ac:dyDescent="0.35">
      <c r="B176" s="9">
        <f t="shared" si="24"/>
        <v>162</v>
      </c>
      <c r="C176" s="60">
        <f t="shared" si="26"/>
        <v>14</v>
      </c>
      <c r="D176" s="61">
        <f t="shared" si="20"/>
        <v>16197536.630529456</v>
      </c>
      <c r="E176" s="62">
        <f t="shared" si="21"/>
        <v>114225.95765300129</v>
      </c>
      <c r="F176" s="103">
        <f t="shared" si="22"/>
        <v>58446.11134182712</v>
      </c>
      <c r="G176" s="103">
        <f t="shared" si="25"/>
        <v>55779.846311174166</v>
      </c>
      <c r="H176" s="10">
        <f t="shared" si="23"/>
        <v>16141756.784218282</v>
      </c>
    </row>
    <row r="177" spans="2:8" x14ac:dyDescent="0.35">
      <c r="B177" s="9">
        <f t="shared" si="24"/>
        <v>163</v>
      </c>
      <c r="C177" s="60">
        <f t="shared" si="26"/>
        <v>14</v>
      </c>
      <c r="D177" s="61">
        <f t="shared" si="20"/>
        <v>16141756.784218282</v>
      </c>
      <c r="E177" s="62">
        <f t="shared" si="21"/>
        <v>114225.95765300129</v>
      </c>
      <c r="F177" s="103">
        <f t="shared" si="22"/>
        <v>58244.8390630543</v>
      </c>
      <c r="G177" s="103">
        <f t="shared" si="25"/>
        <v>55981.118589946986</v>
      </c>
      <c r="H177" s="10">
        <f t="shared" si="23"/>
        <v>16085775.665628335</v>
      </c>
    </row>
    <row r="178" spans="2:8" x14ac:dyDescent="0.35">
      <c r="B178" s="9">
        <f t="shared" si="24"/>
        <v>164</v>
      </c>
      <c r="C178" s="60">
        <f t="shared" si="26"/>
        <v>14</v>
      </c>
      <c r="D178" s="61">
        <f t="shared" si="20"/>
        <v>16085775.665628335</v>
      </c>
      <c r="E178" s="62">
        <f t="shared" si="21"/>
        <v>114225.95765300129</v>
      </c>
      <c r="F178" s="103">
        <f t="shared" si="22"/>
        <v>58042.840526808905</v>
      </c>
      <c r="G178" s="103">
        <f t="shared" si="25"/>
        <v>56183.117126192381</v>
      </c>
      <c r="H178" s="10">
        <f t="shared" si="23"/>
        <v>16029592.548502142</v>
      </c>
    </row>
    <row r="179" spans="2:8" x14ac:dyDescent="0.35">
      <c r="B179" s="9">
        <f t="shared" si="24"/>
        <v>165</v>
      </c>
      <c r="C179" s="60">
        <f t="shared" si="26"/>
        <v>14</v>
      </c>
      <c r="D179" s="61">
        <f t="shared" si="20"/>
        <v>16029592.548502142</v>
      </c>
      <c r="E179" s="62">
        <f t="shared" si="21"/>
        <v>114225.95765300129</v>
      </c>
      <c r="F179" s="103">
        <f t="shared" si="22"/>
        <v>57840.113112511892</v>
      </c>
      <c r="G179" s="103">
        <f t="shared" si="25"/>
        <v>56385.844540489394</v>
      </c>
      <c r="H179" s="10">
        <f t="shared" si="23"/>
        <v>15973206.703961652</v>
      </c>
    </row>
    <row r="180" spans="2:8" x14ac:dyDescent="0.35">
      <c r="B180" s="9">
        <f t="shared" si="24"/>
        <v>166</v>
      </c>
      <c r="C180" s="60">
        <f t="shared" si="26"/>
        <v>14</v>
      </c>
      <c r="D180" s="61">
        <f t="shared" si="20"/>
        <v>15973206.703961652</v>
      </c>
      <c r="E180" s="62">
        <f t="shared" si="21"/>
        <v>114225.95765300129</v>
      </c>
      <c r="F180" s="103">
        <f t="shared" si="22"/>
        <v>57636.654190128291</v>
      </c>
      <c r="G180" s="103">
        <f t="shared" si="25"/>
        <v>56589.303462872995</v>
      </c>
      <c r="H180" s="10">
        <f t="shared" si="23"/>
        <v>15916617.400498779</v>
      </c>
    </row>
    <row r="181" spans="2:8" x14ac:dyDescent="0.35">
      <c r="B181" s="9">
        <f t="shared" si="24"/>
        <v>167</v>
      </c>
      <c r="C181" s="60">
        <f t="shared" si="26"/>
        <v>14</v>
      </c>
      <c r="D181" s="61">
        <f t="shared" si="20"/>
        <v>15916617.400498779</v>
      </c>
      <c r="E181" s="62">
        <f t="shared" si="21"/>
        <v>114225.95765300129</v>
      </c>
      <c r="F181" s="103">
        <f t="shared" si="22"/>
        <v>57432.461120133092</v>
      </c>
      <c r="G181" s="103">
        <f t="shared" si="25"/>
        <v>56793.496532868194</v>
      </c>
      <c r="H181" s="10">
        <f t="shared" si="23"/>
        <v>15859823.903965911</v>
      </c>
    </row>
    <row r="182" spans="2:8" x14ac:dyDescent="0.35">
      <c r="B182" s="9">
        <f t="shared" si="24"/>
        <v>168</v>
      </c>
      <c r="C182" s="60">
        <f t="shared" si="26"/>
        <v>14</v>
      </c>
      <c r="D182" s="61">
        <f t="shared" si="20"/>
        <v>15859823.903965911</v>
      </c>
      <c r="E182" s="62">
        <f t="shared" si="21"/>
        <v>114225.95765300129</v>
      </c>
      <c r="F182" s="103">
        <f t="shared" si="22"/>
        <v>57227.531253476991</v>
      </c>
      <c r="G182" s="103">
        <f t="shared" si="25"/>
        <v>56998.426399524295</v>
      </c>
      <c r="H182" s="10">
        <f t="shared" si="23"/>
        <v>15802825.477566388</v>
      </c>
    </row>
    <row r="183" spans="2:8" x14ac:dyDescent="0.35">
      <c r="B183" s="9">
        <f t="shared" si="24"/>
        <v>169</v>
      </c>
      <c r="C183" s="60">
        <f t="shared" si="26"/>
        <v>15</v>
      </c>
      <c r="D183" s="61">
        <f t="shared" si="20"/>
        <v>15802825.477566388</v>
      </c>
      <c r="E183" s="62">
        <f t="shared" si="21"/>
        <v>114225.95765300129</v>
      </c>
      <c r="F183" s="103">
        <f t="shared" si="22"/>
        <v>57021.861931552048</v>
      </c>
      <c r="G183" s="103">
        <f t="shared" si="25"/>
        <v>57204.095721449237</v>
      </c>
      <c r="H183" s="10">
        <f t="shared" si="23"/>
        <v>15745621.381844938</v>
      </c>
    </row>
    <row r="184" spans="2:8" x14ac:dyDescent="0.35">
      <c r="B184" s="9">
        <f t="shared" si="24"/>
        <v>170</v>
      </c>
      <c r="C184" s="60">
        <f t="shared" si="26"/>
        <v>15</v>
      </c>
      <c r="D184" s="61">
        <f t="shared" si="20"/>
        <v>15745621.381844938</v>
      </c>
      <c r="E184" s="62">
        <f t="shared" si="21"/>
        <v>114225.95765300129</v>
      </c>
      <c r="F184" s="103">
        <f t="shared" si="22"/>
        <v>56815.450486157148</v>
      </c>
      <c r="G184" s="103">
        <f t="shared" si="25"/>
        <v>57410.507166844138</v>
      </c>
      <c r="H184" s="10">
        <f t="shared" si="23"/>
        <v>15688210.874678094</v>
      </c>
    </row>
    <row r="185" spans="2:8" x14ac:dyDescent="0.35">
      <c r="B185" s="9">
        <f t="shared" si="24"/>
        <v>171</v>
      </c>
      <c r="C185" s="60">
        <f t="shared" si="26"/>
        <v>15</v>
      </c>
      <c r="D185" s="61">
        <f t="shared" si="20"/>
        <v>15688210.874678094</v>
      </c>
      <c r="E185" s="62">
        <f t="shared" si="21"/>
        <v>114225.95765300129</v>
      </c>
      <c r="F185" s="103">
        <f t="shared" si="22"/>
        <v>56608.294239463452</v>
      </c>
      <c r="G185" s="103">
        <f t="shared" si="25"/>
        <v>57617.663413537834</v>
      </c>
      <c r="H185" s="10">
        <f t="shared" si="23"/>
        <v>15630593.211264556</v>
      </c>
    </row>
    <row r="186" spans="2:8" x14ac:dyDescent="0.35">
      <c r="B186" s="9">
        <f t="shared" si="24"/>
        <v>172</v>
      </c>
      <c r="C186" s="60">
        <f t="shared" si="26"/>
        <v>15</v>
      </c>
      <c r="D186" s="61">
        <f t="shared" si="20"/>
        <v>15630593.211264556</v>
      </c>
      <c r="E186" s="62">
        <f t="shared" si="21"/>
        <v>114225.95765300129</v>
      </c>
      <c r="F186" s="103">
        <f t="shared" si="22"/>
        <v>56400.390503979608</v>
      </c>
      <c r="G186" s="103">
        <f t="shared" si="25"/>
        <v>57825.567149021677</v>
      </c>
      <c r="H186" s="10">
        <f t="shared" si="23"/>
        <v>15572767.644115534</v>
      </c>
    </row>
    <row r="187" spans="2:8" x14ac:dyDescent="0.35">
      <c r="B187" s="9">
        <f t="shared" si="24"/>
        <v>173</v>
      </c>
      <c r="C187" s="60">
        <f t="shared" si="26"/>
        <v>15</v>
      </c>
      <c r="D187" s="61">
        <f t="shared" si="20"/>
        <v>15572767.644115534</v>
      </c>
      <c r="E187" s="62">
        <f t="shared" si="21"/>
        <v>114225.95765300129</v>
      </c>
      <c r="F187" s="103">
        <f t="shared" si="22"/>
        <v>56191.736582516882</v>
      </c>
      <c r="G187" s="103">
        <f t="shared" si="25"/>
        <v>58034.221070484404</v>
      </c>
      <c r="H187" s="10">
        <f t="shared" si="23"/>
        <v>15514733.423045048</v>
      </c>
    </row>
    <row r="188" spans="2:8" x14ac:dyDescent="0.35">
      <c r="B188" s="9">
        <f t="shared" si="24"/>
        <v>174</v>
      </c>
      <c r="C188" s="60">
        <f t="shared" si="26"/>
        <v>15</v>
      </c>
      <c r="D188" s="61">
        <f t="shared" si="20"/>
        <v>15514733.423045048</v>
      </c>
      <c r="E188" s="62">
        <f t="shared" si="21"/>
        <v>114225.95765300129</v>
      </c>
      <c r="F188" s="103">
        <f t="shared" si="22"/>
        <v>55982.329768154217</v>
      </c>
      <c r="G188" s="103">
        <f t="shared" si="25"/>
        <v>58243.627884847068</v>
      </c>
      <c r="H188" s="10">
        <f t="shared" si="23"/>
        <v>15456489.795160202</v>
      </c>
    </row>
    <row r="189" spans="2:8" x14ac:dyDescent="0.35">
      <c r="B189" s="9">
        <f t="shared" si="24"/>
        <v>175</v>
      </c>
      <c r="C189" s="60">
        <f t="shared" si="26"/>
        <v>15</v>
      </c>
      <c r="D189" s="61">
        <f t="shared" si="20"/>
        <v>15456489.795160202</v>
      </c>
      <c r="E189" s="62">
        <f t="shared" si="21"/>
        <v>114225.95765300129</v>
      </c>
      <c r="F189" s="103">
        <f t="shared" si="22"/>
        <v>55772.167344203059</v>
      </c>
      <c r="G189" s="103">
        <f t="shared" si="25"/>
        <v>58453.790308798227</v>
      </c>
      <c r="H189" s="10">
        <f t="shared" si="23"/>
        <v>15398036.004851405</v>
      </c>
    </row>
    <row r="190" spans="2:8" x14ac:dyDescent="0.35">
      <c r="B190" s="9">
        <f t="shared" si="24"/>
        <v>176</v>
      </c>
      <c r="C190" s="60">
        <f t="shared" si="26"/>
        <v>15</v>
      </c>
      <c r="D190" s="61">
        <f t="shared" si="20"/>
        <v>15398036.004851405</v>
      </c>
      <c r="E190" s="62">
        <f t="shared" si="21"/>
        <v>114225.95765300129</v>
      </c>
      <c r="F190" s="103">
        <f t="shared" si="22"/>
        <v>55561.24658417215</v>
      </c>
      <c r="G190" s="103">
        <f t="shared" si="25"/>
        <v>58664.711068829136</v>
      </c>
      <c r="H190" s="10">
        <f t="shared" si="23"/>
        <v>15339371.293782575</v>
      </c>
    </row>
    <row r="191" spans="2:8" x14ac:dyDescent="0.35">
      <c r="B191" s="9">
        <f t="shared" si="24"/>
        <v>177</v>
      </c>
      <c r="C191" s="60">
        <f t="shared" si="26"/>
        <v>15</v>
      </c>
      <c r="D191" s="61">
        <f t="shared" si="20"/>
        <v>15339371.293782575</v>
      </c>
      <c r="E191" s="62">
        <f t="shared" si="21"/>
        <v>114225.95765300129</v>
      </c>
      <c r="F191" s="103">
        <f t="shared" si="22"/>
        <v>55349.564751732119</v>
      </c>
      <c r="G191" s="103">
        <f t="shared" si="25"/>
        <v>58876.392901269166</v>
      </c>
      <c r="H191" s="10">
        <f t="shared" si="23"/>
        <v>15280494.900881305</v>
      </c>
    </row>
    <row r="192" spans="2:8" x14ac:dyDescent="0.35">
      <c r="B192" s="9">
        <f t="shared" si="24"/>
        <v>178</v>
      </c>
      <c r="C192" s="60">
        <f t="shared" si="26"/>
        <v>15</v>
      </c>
      <c r="D192" s="61">
        <f t="shared" si="20"/>
        <v>15280494.900881305</v>
      </c>
      <c r="E192" s="62">
        <f t="shared" si="21"/>
        <v>114225.95765300129</v>
      </c>
      <c r="F192" s="103">
        <f t="shared" si="22"/>
        <v>55137.119100680044</v>
      </c>
      <c r="G192" s="103">
        <f t="shared" si="25"/>
        <v>59088.838552321242</v>
      </c>
      <c r="H192" s="10">
        <f t="shared" si="23"/>
        <v>15221406.062328985</v>
      </c>
    </row>
    <row r="193" spans="2:8" x14ac:dyDescent="0.35">
      <c r="B193" s="9">
        <f t="shared" si="24"/>
        <v>179</v>
      </c>
      <c r="C193" s="60">
        <f t="shared" si="26"/>
        <v>15</v>
      </c>
      <c r="D193" s="61">
        <f t="shared" si="20"/>
        <v>15221406.062328985</v>
      </c>
      <c r="E193" s="62">
        <f t="shared" si="21"/>
        <v>114225.95765300129</v>
      </c>
      <c r="F193" s="103">
        <f t="shared" si="22"/>
        <v>54923.906874903754</v>
      </c>
      <c r="G193" s="103">
        <f t="shared" si="25"/>
        <v>59302.050778097531</v>
      </c>
      <c r="H193" s="10">
        <f t="shared" si="23"/>
        <v>15162104.011550887</v>
      </c>
    </row>
    <row r="194" spans="2:8" x14ac:dyDescent="0.35">
      <c r="B194" s="9">
        <f t="shared" si="24"/>
        <v>180</v>
      </c>
      <c r="C194" s="60">
        <f t="shared" si="26"/>
        <v>15</v>
      </c>
      <c r="D194" s="61">
        <f t="shared" si="20"/>
        <v>15162104.011550887</v>
      </c>
      <c r="E194" s="62">
        <f t="shared" si="21"/>
        <v>114225.95765300129</v>
      </c>
      <c r="F194" s="103">
        <f t="shared" si="22"/>
        <v>54709.925308346115</v>
      </c>
      <c r="G194" s="103">
        <f t="shared" si="25"/>
        <v>59516.03234465517</v>
      </c>
      <c r="H194" s="10">
        <f t="shared" si="23"/>
        <v>15102587.97920623</v>
      </c>
    </row>
    <row r="195" spans="2:8" x14ac:dyDescent="0.35">
      <c r="B195" s="9">
        <f t="shared" si="24"/>
        <v>181</v>
      </c>
      <c r="C195" s="60">
        <f t="shared" si="26"/>
        <v>16</v>
      </c>
      <c r="D195" s="61">
        <f t="shared" si="20"/>
        <v>15102587.97920623</v>
      </c>
      <c r="E195" s="62">
        <f t="shared" si="21"/>
        <v>114225.95765300129</v>
      </c>
      <c r="F195" s="103">
        <f t="shared" si="22"/>
        <v>54495.171624969145</v>
      </c>
      <c r="G195" s="103">
        <f t="shared" si="25"/>
        <v>59730.78602803214</v>
      </c>
      <c r="H195" s="10">
        <f t="shared" si="23"/>
        <v>15042857.193178199</v>
      </c>
    </row>
    <row r="196" spans="2:8" x14ac:dyDescent="0.35">
      <c r="B196" s="9">
        <f t="shared" si="24"/>
        <v>182</v>
      </c>
      <c r="C196" s="60">
        <f t="shared" si="26"/>
        <v>16</v>
      </c>
      <c r="D196" s="61">
        <f t="shared" si="20"/>
        <v>15042857.193178199</v>
      </c>
      <c r="E196" s="62">
        <f t="shared" si="21"/>
        <v>114225.95765300129</v>
      </c>
      <c r="F196" s="103">
        <f t="shared" si="22"/>
        <v>54279.643038718001</v>
      </c>
      <c r="G196" s="103">
        <f t="shared" si="25"/>
        <v>59946.314614283285</v>
      </c>
      <c r="H196" s="10">
        <f t="shared" si="23"/>
        <v>14982910.878563916</v>
      </c>
    </row>
    <row r="197" spans="2:8" x14ac:dyDescent="0.35">
      <c r="B197" s="9">
        <f t="shared" si="24"/>
        <v>183</v>
      </c>
      <c r="C197" s="60">
        <f t="shared" si="26"/>
        <v>16</v>
      </c>
      <c r="D197" s="61">
        <f t="shared" si="20"/>
        <v>14982910.878563916</v>
      </c>
      <c r="E197" s="62">
        <f t="shared" si="21"/>
        <v>114225.95765300129</v>
      </c>
      <c r="F197" s="103">
        <f t="shared" si="22"/>
        <v>54063.336753484793</v>
      </c>
      <c r="G197" s="103">
        <f t="shared" si="25"/>
        <v>60162.620899516492</v>
      </c>
      <c r="H197" s="10">
        <f t="shared" si="23"/>
        <v>14922748.257664399</v>
      </c>
    </row>
    <row r="198" spans="2:8" x14ac:dyDescent="0.35">
      <c r="B198" s="9">
        <f t="shared" si="24"/>
        <v>184</v>
      </c>
      <c r="C198" s="60">
        <f t="shared" si="26"/>
        <v>16</v>
      </c>
      <c r="D198" s="61">
        <f t="shared" si="20"/>
        <v>14922748.257664399</v>
      </c>
      <c r="E198" s="62">
        <f t="shared" si="21"/>
        <v>114225.95765300129</v>
      </c>
      <c r="F198" s="103">
        <f t="shared" si="22"/>
        <v>53846.249963072369</v>
      </c>
      <c r="G198" s="103">
        <f t="shared" si="25"/>
        <v>60379.707689928917</v>
      </c>
      <c r="H198" s="10">
        <f t="shared" si="23"/>
        <v>14862368.549974469</v>
      </c>
    </row>
    <row r="199" spans="2:8" x14ac:dyDescent="0.35">
      <c r="B199" s="9">
        <f t="shared" si="24"/>
        <v>185</v>
      </c>
      <c r="C199" s="60">
        <f t="shared" si="26"/>
        <v>16</v>
      </c>
      <c r="D199" s="61">
        <f t="shared" si="20"/>
        <v>14862368.549974469</v>
      </c>
      <c r="E199" s="62">
        <f t="shared" si="21"/>
        <v>114225.95765300129</v>
      </c>
      <c r="F199" s="103">
        <f t="shared" si="22"/>
        <v>53628.379851157872</v>
      </c>
      <c r="G199" s="103">
        <f t="shared" si="25"/>
        <v>60597.577801843414</v>
      </c>
      <c r="H199" s="10">
        <f t="shared" si="23"/>
        <v>14801770.972172625</v>
      </c>
    </row>
    <row r="200" spans="2:8" x14ac:dyDescent="0.35">
      <c r="B200" s="9">
        <f t="shared" si="24"/>
        <v>186</v>
      </c>
      <c r="C200" s="60">
        <f t="shared" si="26"/>
        <v>16</v>
      </c>
      <c r="D200" s="61">
        <f t="shared" si="20"/>
        <v>14801770.972172625</v>
      </c>
      <c r="E200" s="62">
        <f t="shared" si="21"/>
        <v>114225.95765300129</v>
      </c>
      <c r="F200" s="103">
        <f t="shared" si="22"/>
        <v>53409.723591256225</v>
      </c>
      <c r="G200" s="103">
        <f t="shared" si="25"/>
        <v>60816.234061745061</v>
      </c>
      <c r="H200" s="10">
        <f t="shared" si="23"/>
        <v>14740954.738110879</v>
      </c>
    </row>
    <row r="201" spans="2:8" x14ac:dyDescent="0.35">
      <c r="B201" s="9">
        <f t="shared" si="24"/>
        <v>187</v>
      </c>
      <c r="C201" s="60">
        <f t="shared" si="26"/>
        <v>16</v>
      </c>
      <c r="D201" s="61">
        <f t="shared" si="20"/>
        <v>14740954.738110879</v>
      </c>
      <c r="E201" s="62">
        <f t="shared" si="21"/>
        <v>114225.95765300129</v>
      </c>
      <c r="F201" s="103">
        <f t="shared" si="22"/>
        <v>53190.278346683423</v>
      </c>
      <c r="G201" s="103">
        <f t="shared" si="25"/>
        <v>61035.679306317863</v>
      </c>
      <c r="H201" s="10">
        <f t="shared" si="23"/>
        <v>14679919.058804562</v>
      </c>
    </row>
    <row r="202" spans="2:8" x14ac:dyDescent="0.35">
      <c r="B202" s="9">
        <f t="shared" si="24"/>
        <v>188</v>
      </c>
      <c r="C202" s="60">
        <f t="shared" si="26"/>
        <v>16</v>
      </c>
      <c r="D202" s="61">
        <f t="shared" si="20"/>
        <v>14679919.058804562</v>
      </c>
      <c r="E202" s="62">
        <f t="shared" si="21"/>
        <v>114225.95765300129</v>
      </c>
      <c r="F202" s="103">
        <f t="shared" si="22"/>
        <v>52970.041270519796</v>
      </c>
      <c r="G202" s="103">
        <f t="shared" si="25"/>
        <v>61255.91638248149</v>
      </c>
      <c r="H202" s="10">
        <f t="shared" si="23"/>
        <v>14618663.14242208</v>
      </c>
    </row>
    <row r="203" spans="2:8" x14ac:dyDescent="0.35">
      <c r="B203" s="9">
        <f t="shared" si="24"/>
        <v>189</v>
      </c>
      <c r="C203" s="60">
        <f t="shared" si="26"/>
        <v>16</v>
      </c>
      <c r="D203" s="61">
        <f t="shared" si="20"/>
        <v>14618663.14242208</v>
      </c>
      <c r="E203" s="62">
        <f t="shared" si="21"/>
        <v>114225.95765300129</v>
      </c>
      <c r="F203" s="103">
        <f t="shared" si="22"/>
        <v>52749.009505573005</v>
      </c>
      <c r="G203" s="103">
        <f t="shared" si="25"/>
        <v>61476.94814742828</v>
      </c>
      <c r="H203" s="10">
        <f t="shared" si="23"/>
        <v>14557186.194274651</v>
      </c>
    </row>
    <row r="204" spans="2:8" x14ac:dyDescent="0.35">
      <c r="B204" s="9">
        <f t="shared" si="24"/>
        <v>190</v>
      </c>
      <c r="C204" s="60">
        <f t="shared" si="26"/>
        <v>16</v>
      </c>
      <c r="D204" s="61">
        <f t="shared" si="20"/>
        <v>14557186.194274651</v>
      </c>
      <c r="E204" s="62">
        <f t="shared" si="21"/>
        <v>114225.95765300129</v>
      </c>
      <c r="F204" s="103">
        <f t="shared" si="22"/>
        <v>52527.180184341029</v>
      </c>
      <c r="G204" s="103">
        <f t="shared" si="25"/>
        <v>61698.777468660257</v>
      </c>
      <c r="H204" s="10">
        <f t="shared" si="23"/>
        <v>14495487.41680599</v>
      </c>
    </row>
    <row r="205" spans="2:8" x14ac:dyDescent="0.35">
      <c r="B205" s="9">
        <f t="shared" si="24"/>
        <v>191</v>
      </c>
      <c r="C205" s="60">
        <f t="shared" si="26"/>
        <v>16</v>
      </c>
      <c r="D205" s="61">
        <f t="shared" si="20"/>
        <v>14495487.41680599</v>
      </c>
      <c r="E205" s="62">
        <f t="shared" si="21"/>
        <v>114225.95765300129</v>
      </c>
      <c r="F205" s="103">
        <f t="shared" si="22"/>
        <v>52304.550428974944</v>
      </c>
      <c r="G205" s="103">
        <f t="shared" si="25"/>
        <v>61921.407224026341</v>
      </c>
      <c r="H205" s="10">
        <f t="shared" si="23"/>
        <v>14433566.009581964</v>
      </c>
    </row>
    <row r="206" spans="2:8" x14ac:dyDescent="0.35">
      <c r="B206" s="9">
        <f t="shared" si="24"/>
        <v>192</v>
      </c>
      <c r="C206" s="60">
        <f t="shared" si="26"/>
        <v>16</v>
      </c>
      <c r="D206" s="61">
        <f t="shared" si="20"/>
        <v>14433566.009581964</v>
      </c>
      <c r="E206" s="62">
        <f t="shared" si="21"/>
        <v>114225.95765300129</v>
      </c>
      <c r="F206" s="103">
        <f t="shared" si="22"/>
        <v>52081.117351241584</v>
      </c>
      <c r="G206" s="103">
        <f t="shared" si="25"/>
        <v>62144.840301759701</v>
      </c>
      <c r="H206" s="10">
        <f t="shared" si="23"/>
        <v>14371421.169280205</v>
      </c>
    </row>
    <row r="207" spans="2:8" x14ac:dyDescent="0.35">
      <c r="B207" s="9">
        <f t="shared" si="24"/>
        <v>193</v>
      </c>
      <c r="C207" s="60">
        <f t="shared" si="26"/>
        <v>17</v>
      </c>
      <c r="D207" s="61">
        <f t="shared" si="20"/>
        <v>14371421.169280205</v>
      </c>
      <c r="E207" s="62">
        <f t="shared" si="21"/>
        <v>114225.95765300129</v>
      </c>
      <c r="F207" s="103">
        <f t="shared" si="22"/>
        <v>51856.87805248607</v>
      </c>
      <c r="G207" s="103">
        <f t="shared" si="25"/>
        <v>62369.079600515215</v>
      </c>
      <c r="H207" s="10">
        <f t="shared" si="23"/>
        <v>14309052.08967969</v>
      </c>
    </row>
    <row r="208" spans="2:8" x14ac:dyDescent="0.35">
      <c r="B208" s="9">
        <f t="shared" si="24"/>
        <v>194</v>
      </c>
      <c r="C208" s="60">
        <f t="shared" si="26"/>
        <v>17</v>
      </c>
      <c r="D208" s="61">
        <f t="shared" ref="D208:D271" si="27">H207</f>
        <v>14309052.08967969</v>
      </c>
      <c r="E208" s="62">
        <f t="shared" ref="E208:E271" si="28">$D$7</f>
        <v>114225.95765300129</v>
      </c>
      <c r="F208" s="103">
        <f t="shared" ref="F208:F271" si="29">D208*($D$4/12)</f>
        <v>51631.829623594211</v>
      </c>
      <c r="G208" s="103">
        <f t="shared" si="25"/>
        <v>62594.128029407075</v>
      </c>
      <c r="H208" s="10">
        <f t="shared" ref="H208:H271" si="30">D208-G208</f>
        <v>14246457.961650282</v>
      </c>
    </row>
    <row r="209" spans="2:8" x14ac:dyDescent="0.35">
      <c r="B209" s="9">
        <f t="shared" ref="B209:B272" si="31">B208+1</f>
        <v>195</v>
      </c>
      <c r="C209" s="60">
        <f t="shared" si="26"/>
        <v>17</v>
      </c>
      <c r="D209" s="61">
        <f t="shared" si="27"/>
        <v>14246457.961650282</v>
      </c>
      <c r="E209" s="62">
        <f t="shared" si="28"/>
        <v>114225.95765300129</v>
      </c>
      <c r="F209" s="103">
        <f t="shared" si="29"/>
        <v>51405.969144954768</v>
      </c>
      <c r="G209" s="103">
        <f t="shared" ref="G209:G272" si="32">E209-F209</f>
        <v>62819.988508046517</v>
      </c>
      <c r="H209" s="10">
        <f t="shared" si="30"/>
        <v>14183637.973142236</v>
      </c>
    </row>
    <row r="210" spans="2:8" x14ac:dyDescent="0.35">
      <c r="B210" s="9">
        <f t="shared" si="31"/>
        <v>196</v>
      </c>
      <c r="C210" s="60">
        <f t="shared" si="26"/>
        <v>17</v>
      </c>
      <c r="D210" s="61">
        <f t="shared" si="27"/>
        <v>14183637.973142236</v>
      </c>
      <c r="E210" s="62">
        <f t="shared" si="28"/>
        <v>114225.95765300129</v>
      </c>
      <c r="F210" s="103">
        <f t="shared" si="29"/>
        <v>51179.293686421566</v>
      </c>
      <c r="G210" s="103">
        <f t="shared" si="32"/>
        <v>63046.663966579719</v>
      </c>
      <c r="H210" s="10">
        <f t="shared" si="30"/>
        <v>14120591.309175657</v>
      </c>
    </row>
    <row r="211" spans="2:8" x14ac:dyDescent="0.35">
      <c r="B211" s="9">
        <f t="shared" si="31"/>
        <v>197</v>
      </c>
      <c r="C211" s="60">
        <f t="shared" si="26"/>
        <v>17</v>
      </c>
      <c r="D211" s="61">
        <f t="shared" si="27"/>
        <v>14120591.309175657</v>
      </c>
      <c r="E211" s="62">
        <f t="shared" si="28"/>
        <v>114225.95765300129</v>
      </c>
      <c r="F211" s="103">
        <f t="shared" si="29"/>
        <v>50951.800307275495</v>
      </c>
      <c r="G211" s="103">
        <f t="shared" si="32"/>
        <v>63274.157345725791</v>
      </c>
      <c r="H211" s="10">
        <f t="shared" si="30"/>
        <v>14057317.151829932</v>
      </c>
    </row>
    <row r="212" spans="2:8" x14ac:dyDescent="0.35">
      <c r="B212" s="9">
        <f t="shared" si="31"/>
        <v>198</v>
      </c>
      <c r="C212" s="60">
        <f t="shared" si="26"/>
        <v>17</v>
      </c>
      <c r="D212" s="61">
        <f t="shared" si="27"/>
        <v>14057317.151829932</v>
      </c>
      <c r="E212" s="62">
        <f t="shared" si="28"/>
        <v>114225.95765300129</v>
      </c>
      <c r="F212" s="103">
        <f t="shared" si="29"/>
        <v>50723.486056186339</v>
      </c>
      <c r="G212" s="103">
        <f t="shared" si="32"/>
        <v>63502.471596814947</v>
      </c>
      <c r="H212" s="10">
        <f t="shared" si="30"/>
        <v>13993814.680233117</v>
      </c>
    </row>
    <row r="213" spans="2:8" x14ac:dyDescent="0.35">
      <c r="B213" s="9">
        <f t="shared" si="31"/>
        <v>199</v>
      </c>
      <c r="C213" s="60">
        <f t="shared" si="26"/>
        <v>17</v>
      </c>
      <c r="D213" s="61">
        <f t="shared" si="27"/>
        <v>13993814.680233117</v>
      </c>
      <c r="E213" s="62">
        <f t="shared" si="28"/>
        <v>114225.95765300129</v>
      </c>
      <c r="F213" s="103">
        <f t="shared" si="29"/>
        <v>50494.347971174495</v>
      </c>
      <c r="G213" s="103">
        <f t="shared" si="32"/>
        <v>63731.609681826791</v>
      </c>
      <c r="H213" s="10">
        <f t="shared" si="30"/>
        <v>13930083.070551291</v>
      </c>
    </row>
    <row r="214" spans="2:8" x14ac:dyDescent="0.35">
      <c r="B214" s="9">
        <f t="shared" si="31"/>
        <v>200</v>
      </c>
      <c r="C214" s="60">
        <f t="shared" si="26"/>
        <v>17</v>
      </c>
      <c r="D214" s="61">
        <f t="shared" si="27"/>
        <v>13930083.070551291</v>
      </c>
      <c r="E214" s="62">
        <f t="shared" si="28"/>
        <v>114225.95765300129</v>
      </c>
      <c r="F214" s="103">
        <f t="shared" si="29"/>
        <v>50264.383079572573</v>
      </c>
      <c r="G214" s="103">
        <f t="shared" si="32"/>
        <v>63961.574573428712</v>
      </c>
      <c r="H214" s="10">
        <f t="shared" si="30"/>
        <v>13866121.495977862</v>
      </c>
    </row>
    <row r="215" spans="2:8" x14ac:dyDescent="0.35">
      <c r="B215" s="9">
        <f t="shared" si="31"/>
        <v>201</v>
      </c>
      <c r="C215" s="60">
        <f t="shared" si="26"/>
        <v>17</v>
      </c>
      <c r="D215" s="61">
        <f t="shared" si="27"/>
        <v>13866121.495977862</v>
      </c>
      <c r="E215" s="62">
        <f t="shared" si="28"/>
        <v>114225.95765300129</v>
      </c>
      <c r="F215" s="103">
        <f t="shared" si="29"/>
        <v>50033.588397986779</v>
      </c>
      <c r="G215" s="103">
        <f t="shared" si="32"/>
        <v>64192.369255014506</v>
      </c>
      <c r="H215" s="10">
        <f t="shared" si="30"/>
        <v>13801929.126722848</v>
      </c>
    </row>
    <row r="216" spans="2:8" x14ac:dyDescent="0.35">
      <c r="B216" s="9">
        <f t="shared" si="31"/>
        <v>202</v>
      </c>
      <c r="C216" s="60">
        <f t="shared" si="26"/>
        <v>17</v>
      </c>
      <c r="D216" s="61">
        <f t="shared" si="27"/>
        <v>13801929.126722848</v>
      </c>
      <c r="E216" s="62">
        <f t="shared" si="28"/>
        <v>114225.95765300129</v>
      </c>
      <c r="F216" s="103">
        <f t="shared" si="29"/>
        <v>49801.960932258276</v>
      </c>
      <c r="G216" s="103">
        <f t="shared" si="32"/>
        <v>64423.996720743009</v>
      </c>
      <c r="H216" s="10">
        <f t="shared" si="30"/>
        <v>13737505.130002106</v>
      </c>
    </row>
    <row r="217" spans="2:8" x14ac:dyDescent="0.35">
      <c r="B217" s="9">
        <f t="shared" si="31"/>
        <v>203</v>
      </c>
      <c r="C217" s="60">
        <f t="shared" si="26"/>
        <v>17</v>
      </c>
      <c r="D217" s="61">
        <f t="shared" si="27"/>
        <v>13737505.130002106</v>
      </c>
      <c r="E217" s="62">
        <f t="shared" si="28"/>
        <v>114225.95765300129</v>
      </c>
      <c r="F217" s="103">
        <f t="shared" si="29"/>
        <v>49569.49767742426</v>
      </c>
      <c r="G217" s="103">
        <f t="shared" si="32"/>
        <v>64656.459975577025</v>
      </c>
      <c r="H217" s="10">
        <f t="shared" si="30"/>
        <v>13672848.670026528</v>
      </c>
    </row>
    <row r="218" spans="2:8" x14ac:dyDescent="0.35">
      <c r="B218" s="9">
        <f t="shared" si="31"/>
        <v>204</v>
      </c>
      <c r="C218" s="60">
        <f t="shared" si="26"/>
        <v>17</v>
      </c>
      <c r="D218" s="61">
        <f t="shared" si="27"/>
        <v>13672848.670026528</v>
      </c>
      <c r="E218" s="62">
        <f t="shared" si="28"/>
        <v>114225.95765300129</v>
      </c>
      <c r="F218" s="103">
        <f t="shared" si="29"/>
        <v>49336.195617679055</v>
      </c>
      <c r="G218" s="103">
        <f t="shared" si="32"/>
        <v>64889.76203532223</v>
      </c>
      <c r="H218" s="10">
        <f t="shared" si="30"/>
        <v>13607958.907991206</v>
      </c>
    </row>
    <row r="219" spans="2:8" x14ac:dyDescent="0.35">
      <c r="B219" s="9">
        <f t="shared" si="31"/>
        <v>205</v>
      </c>
      <c r="C219" s="60">
        <f t="shared" si="26"/>
        <v>18</v>
      </c>
      <c r="D219" s="61">
        <f t="shared" si="27"/>
        <v>13607958.907991206</v>
      </c>
      <c r="E219" s="62">
        <f t="shared" si="28"/>
        <v>114225.95765300129</v>
      </c>
      <c r="F219" s="103">
        <f t="shared" si="29"/>
        <v>49102.051726334932</v>
      </c>
      <c r="G219" s="103">
        <f t="shared" si="32"/>
        <v>65123.905926666353</v>
      </c>
      <c r="H219" s="10">
        <f t="shared" si="30"/>
        <v>13542835.002064539</v>
      </c>
    </row>
    <row r="220" spans="2:8" x14ac:dyDescent="0.35">
      <c r="B220" s="9">
        <f t="shared" si="31"/>
        <v>206</v>
      </c>
      <c r="C220" s="60">
        <f t="shared" ref="C220:C283" si="33">C208+1</f>
        <v>18</v>
      </c>
      <c r="D220" s="61">
        <f t="shared" si="27"/>
        <v>13542835.002064539</v>
      </c>
      <c r="E220" s="62">
        <f t="shared" si="28"/>
        <v>114225.95765300129</v>
      </c>
      <c r="F220" s="103">
        <f t="shared" si="29"/>
        <v>48867.062965782876</v>
      </c>
      <c r="G220" s="103">
        <f t="shared" si="32"/>
        <v>65358.89468721841</v>
      </c>
      <c r="H220" s="10">
        <f t="shared" si="30"/>
        <v>13477476.107377321</v>
      </c>
    </row>
    <row r="221" spans="2:8" x14ac:dyDescent="0.35">
      <c r="B221" s="9">
        <f t="shared" si="31"/>
        <v>207</v>
      </c>
      <c r="C221" s="60">
        <f t="shared" si="33"/>
        <v>18</v>
      </c>
      <c r="D221" s="61">
        <f t="shared" si="27"/>
        <v>13477476.107377321</v>
      </c>
      <c r="E221" s="62">
        <f t="shared" si="28"/>
        <v>114225.95765300129</v>
      </c>
      <c r="F221" s="103">
        <f t="shared" si="29"/>
        <v>48631.226287453166</v>
      </c>
      <c r="G221" s="103">
        <f t="shared" si="32"/>
        <v>65594.731365548127</v>
      </c>
      <c r="H221" s="10">
        <f t="shared" si="30"/>
        <v>13411881.376011772</v>
      </c>
    </row>
    <row r="222" spans="2:8" x14ac:dyDescent="0.35">
      <c r="B222" s="9">
        <f t="shared" si="31"/>
        <v>208</v>
      </c>
      <c r="C222" s="60">
        <f t="shared" si="33"/>
        <v>18</v>
      </c>
      <c r="D222" s="61">
        <f t="shared" si="27"/>
        <v>13411881.376011772</v>
      </c>
      <c r="E222" s="62">
        <f t="shared" si="28"/>
        <v>114225.95765300129</v>
      </c>
      <c r="F222" s="103">
        <f t="shared" si="29"/>
        <v>48394.538631775809</v>
      </c>
      <c r="G222" s="103">
        <f t="shared" si="32"/>
        <v>65831.419021225476</v>
      </c>
      <c r="H222" s="10">
        <f t="shared" si="30"/>
        <v>13346049.956990547</v>
      </c>
    </row>
    <row r="223" spans="2:8" x14ac:dyDescent="0.35">
      <c r="B223" s="9">
        <f t="shared" si="31"/>
        <v>209</v>
      </c>
      <c r="C223" s="60">
        <f t="shared" si="33"/>
        <v>18</v>
      </c>
      <c r="D223" s="61">
        <f t="shared" si="27"/>
        <v>13346049.956990547</v>
      </c>
      <c r="E223" s="62">
        <f t="shared" si="28"/>
        <v>114225.95765300129</v>
      </c>
      <c r="F223" s="103">
        <f t="shared" si="29"/>
        <v>48156.996928140892</v>
      </c>
      <c r="G223" s="103">
        <f t="shared" si="32"/>
        <v>66068.960724860401</v>
      </c>
      <c r="H223" s="10">
        <f t="shared" si="30"/>
        <v>13279980.996265687</v>
      </c>
    </row>
    <row r="224" spans="2:8" x14ac:dyDescent="0.35">
      <c r="B224" s="9">
        <f t="shared" si="31"/>
        <v>210</v>
      </c>
      <c r="C224" s="60">
        <f t="shared" si="33"/>
        <v>18</v>
      </c>
      <c r="D224" s="61">
        <f t="shared" si="27"/>
        <v>13279980.996265687</v>
      </c>
      <c r="E224" s="62">
        <f t="shared" si="28"/>
        <v>114225.95765300129</v>
      </c>
      <c r="F224" s="103">
        <f t="shared" si="29"/>
        <v>47918.598094858688</v>
      </c>
      <c r="G224" s="103">
        <f t="shared" si="32"/>
        <v>66307.359558142605</v>
      </c>
      <c r="H224" s="10">
        <f t="shared" si="30"/>
        <v>13213673.636707544</v>
      </c>
    </row>
    <row r="225" spans="2:8" x14ac:dyDescent="0.35">
      <c r="B225" s="9">
        <f t="shared" si="31"/>
        <v>211</v>
      </c>
      <c r="C225" s="60">
        <f t="shared" si="33"/>
        <v>18</v>
      </c>
      <c r="D225" s="61">
        <f t="shared" si="27"/>
        <v>13213673.636707544</v>
      </c>
      <c r="E225" s="62">
        <f t="shared" si="28"/>
        <v>114225.95765300129</v>
      </c>
      <c r="F225" s="103">
        <f t="shared" si="29"/>
        <v>47679.339039119717</v>
      </c>
      <c r="G225" s="103">
        <f t="shared" si="32"/>
        <v>66546.618613881568</v>
      </c>
      <c r="H225" s="10">
        <f t="shared" si="30"/>
        <v>13147127.018093662</v>
      </c>
    </row>
    <row r="226" spans="2:8" x14ac:dyDescent="0.35">
      <c r="B226" s="9">
        <f t="shared" si="31"/>
        <v>212</v>
      </c>
      <c r="C226" s="60">
        <f t="shared" si="33"/>
        <v>18</v>
      </c>
      <c r="D226" s="61">
        <f t="shared" si="27"/>
        <v>13147127.018093662</v>
      </c>
      <c r="E226" s="62">
        <f t="shared" si="28"/>
        <v>114225.95765300129</v>
      </c>
      <c r="F226" s="103">
        <f t="shared" si="29"/>
        <v>47439.216656954632</v>
      </c>
      <c r="G226" s="103">
        <f t="shared" si="32"/>
        <v>66786.740996046661</v>
      </c>
      <c r="H226" s="10">
        <f t="shared" si="30"/>
        <v>13080340.277097616</v>
      </c>
    </row>
    <row r="227" spans="2:8" x14ac:dyDescent="0.35">
      <c r="B227" s="9">
        <f t="shared" si="31"/>
        <v>213</v>
      </c>
      <c r="C227" s="60">
        <f t="shared" si="33"/>
        <v>18</v>
      </c>
      <c r="D227" s="61">
        <f t="shared" si="27"/>
        <v>13080340.277097616</v>
      </c>
      <c r="E227" s="62">
        <f t="shared" si="28"/>
        <v>114225.95765300129</v>
      </c>
      <c r="F227" s="103">
        <f t="shared" si="29"/>
        <v>47198.227833193894</v>
      </c>
      <c r="G227" s="103">
        <f t="shared" si="32"/>
        <v>67027.729819807399</v>
      </c>
      <c r="H227" s="10">
        <f t="shared" si="30"/>
        <v>13013312.547277808</v>
      </c>
    </row>
    <row r="228" spans="2:8" x14ac:dyDescent="0.35">
      <c r="B228" s="9">
        <f t="shared" si="31"/>
        <v>214</v>
      </c>
      <c r="C228" s="60">
        <f t="shared" si="33"/>
        <v>18</v>
      </c>
      <c r="D228" s="61">
        <f t="shared" si="27"/>
        <v>13013312.547277808</v>
      </c>
      <c r="E228" s="62">
        <f t="shared" si="28"/>
        <v>114225.95765300129</v>
      </c>
      <c r="F228" s="103">
        <f t="shared" si="29"/>
        <v>46956.369441427421</v>
      </c>
      <c r="G228" s="103">
        <f t="shared" si="32"/>
        <v>67269.588211573864</v>
      </c>
      <c r="H228" s="10">
        <f t="shared" si="30"/>
        <v>12946042.959066235</v>
      </c>
    </row>
    <row r="229" spans="2:8" x14ac:dyDescent="0.35">
      <c r="B229" s="9">
        <f t="shared" si="31"/>
        <v>215</v>
      </c>
      <c r="C229" s="60">
        <f t="shared" si="33"/>
        <v>18</v>
      </c>
      <c r="D229" s="61">
        <f t="shared" si="27"/>
        <v>12946042.959066235</v>
      </c>
      <c r="E229" s="62">
        <f t="shared" si="28"/>
        <v>114225.95765300129</v>
      </c>
      <c r="F229" s="103">
        <f t="shared" si="29"/>
        <v>46713.638343963998</v>
      </c>
      <c r="G229" s="103">
        <f t="shared" si="32"/>
        <v>67512.319309037295</v>
      </c>
      <c r="H229" s="10">
        <f t="shared" si="30"/>
        <v>12878530.639757197</v>
      </c>
    </row>
    <row r="230" spans="2:8" x14ac:dyDescent="0.35">
      <c r="B230" s="9">
        <f t="shared" si="31"/>
        <v>216</v>
      </c>
      <c r="C230" s="60">
        <f t="shared" si="33"/>
        <v>18</v>
      </c>
      <c r="D230" s="61">
        <f t="shared" si="27"/>
        <v>12878530.639757197</v>
      </c>
      <c r="E230" s="62">
        <f t="shared" si="28"/>
        <v>114225.95765300129</v>
      </c>
      <c r="F230" s="103">
        <f t="shared" si="29"/>
        <v>46470.031391790551</v>
      </c>
      <c r="G230" s="103">
        <f t="shared" si="32"/>
        <v>67755.926261210727</v>
      </c>
      <c r="H230" s="10">
        <f t="shared" si="30"/>
        <v>12810774.713495987</v>
      </c>
    </row>
    <row r="231" spans="2:8" x14ac:dyDescent="0.35">
      <c r="B231" s="9">
        <f t="shared" si="31"/>
        <v>217</v>
      </c>
      <c r="C231" s="60">
        <f t="shared" si="33"/>
        <v>19</v>
      </c>
      <c r="D231" s="61">
        <f t="shared" si="27"/>
        <v>12810774.713495987</v>
      </c>
      <c r="E231" s="62">
        <f t="shared" si="28"/>
        <v>114225.95765300129</v>
      </c>
      <c r="F231" s="103">
        <f t="shared" si="29"/>
        <v>46225.545424531352</v>
      </c>
      <c r="G231" s="103">
        <f t="shared" si="32"/>
        <v>68000.412228469941</v>
      </c>
      <c r="H231" s="10">
        <f t="shared" si="30"/>
        <v>12742774.301267516</v>
      </c>
    </row>
    <row r="232" spans="2:8" x14ac:dyDescent="0.35">
      <c r="B232" s="9">
        <f t="shared" si="31"/>
        <v>218</v>
      </c>
      <c r="C232" s="60">
        <f t="shared" si="33"/>
        <v>19</v>
      </c>
      <c r="D232" s="61">
        <f t="shared" si="27"/>
        <v>12742774.301267516</v>
      </c>
      <c r="E232" s="62">
        <f t="shared" si="28"/>
        <v>114225.95765300129</v>
      </c>
      <c r="F232" s="103">
        <f t="shared" si="29"/>
        <v>45980.177270406952</v>
      </c>
      <c r="G232" s="103">
        <f t="shared" si="32"/>
        <v>68245.780382594327</v>
      </c>
      <c r="H232" s="10">
        <f t="shared" si="30"/>
        <v>12674528.520884922</v>
      </c>
    </row>
    <row r="233" spans="2:8" x14ac:dyDescent="0.35">
      <c r="B233" s="9">
        <f t="shared" si="31"/>
        <v>219</v>
      </c>
      <c r="C233" s="60">
        <f t="shared" si="33"/>
        <v>19</v>
      </c>
      <c r="D233" s="61">
        <f t="shared" si="27"/>
        <v>12674528.520884922</v>
      </c>
      <c r="E233" s="62">
        <f t="shared" si="28"/>
        <v>114225.95765300129</v>
      </c>
      <c r="F233" s="103">
        <f t="shared" si="29"/>
        <v>45733.92374619309</v>
      </c>
      <c r="G233" s="103">
        <f t="shared" si="32"/>
        <v>68492.033906808196</v>
      </c>
      <c r="H233" s="10">
        <f t="shared" si="30"/>
        <v>12606036.486978114</v>
      </c>
    </row>
    <row r="234" spans="2:8" x14ac:dyDescent="0.35">
      <c r="B234" s="9">
        <f t="shared" si="31"/>
        <v>220</v>
      </c>
      <c r="C234" s="60">
        <f t="shared" si="33"/>
        <v>19</v>
      </c>
      <c r="D234" s="61">
        <f t="shared" si="27"/>
        <v>12606036.486978114</v>
      </c>
      <c r="E234" s="62">
        <f t="shared" si="28"/>
        <v>114225.95765300129</v>
      </c>
      <c r="F234" s="103">
        <f t="shared" si="29"/>
        <v>45486.781657179359</v>
      </c>
      <c r="G234" s="103">
        <f t="shared" si="32"/>
        <v>68739.175995821919</v>
      </c>
      <c r="H234" s="10">
        <f t="shared" si="30"/>
        <v>12537297.310982293</v>
      </c>
    </row>
    <row r="235" spans="2:8" x14ac:dyDescent="0.35">
      <c r="B235" s="9">
        <f t="shared" si="31"/>
        <v>221</v>
      </c>
      <c r="C235" s="60">
        <f t="shared" si="33"/>
        <v>19</v>
      </c>
      <c r="D235" s="61">
        <f t="shared" si="27"/>
        <v>12537297.310982293</v>
      </c>
      <c r="E235" s="62">
        <f t="shared" si="28"/>
        <v>114225.95765300129</v>
      </c>
      <c r="F235" s="103">
        <f t="shared" si="29"/>
        <v>45238.747797127769</v>
      </c>
      <c r="G235" s="103">
        <f t="shared" si="32"/>
        <v>68987.209855873516</v>
      </c>
      <c r="H235" s="10">
        <f t="shared" si="30"/>
        <v>12468310.101126419</v>
      </c>
    </row>
    <row r="236" spans="2:8" x14ac:dyDescent="0.35">
      <c r="B236" s="9">
        <f t="shared" si="31"/>
        <v>222</v>
      </c>
      <c r="C236" s="60">
        <f t="shared" si="33"/>
        <v>19</v>
      </c>
      <c r="D236" s="61">
        <f t="shared" si="27"/>
        <v>12468310.101126419</v>
      </c>
      <c r="E236" s="62">
        <f t="shared" si="28"/>
        <v>114225.95765300129</v>
      </c>
      <c r="F236" s="103">
        <f t="shared" si="29"/>
        <v>44989.818948231165</v>
      </c>
      <c r="G236" s="103">
        <f t="shared" si="32"/>
        <v>69236.138704770128</v>
      </c>
      <c r="H236" s="10">
        <f t="shared" si="30"/>
        <v>12399073.96242165</v>
      </c>
    </row>
    <row r="237" spans="2:8" x14ac:dyDescent="0.35">
      <c r="B237" s="9">
        <f t="shared" si="31"/>
        <v>223</v>
      </c>
      <c r="C237" s="60">
        <f t="shared" si="33"/>
        <v>19</v>
      </c>
      <c r="D237" s="61">
        <f t="shared" si="27"/>
        <v>12399073.96242165</v>
      </c>
      <c r="E237" s="62">
        <f t="shared" si="28"/>
        <v>114225.95765300129</v>
      </c>
      <c r="F237" s="103">
        <f t="shared" si="29"/>
        <v>44739.991881071452</v>
      </c>
      <c r="G237" s="103">
        <f t="shared" si="32"/>
        <v>69485.965771929827</v>
      </c>
      <c r="H237" s="10">
        <f t="shared" si="30"/>
        <v>12329587.99664972</v>
      </c>
    </row>
    <row r="238" spans="2:8" x14ac:dyDescent="0.35">
      <c r="B238" s="9">
        <f t="shared" si="31"/>
        <v>224</v>
      </c>
      <c r="C238" s="60">
        <f t="shared" si="33"/>
        <v>19</v>
      </c>
      <c r="D238" s="61">
        <f t="shared" si="27"/>
        <v>12329587.99664972</v>
      </c>
      <c r="E238" s="62">
        <f t="shared" si="28"/>
        <v>114225.95765300129</v>
      </c>
      <c r="F238" s="103">
        <f t="shared" si="29"/>
        <v>44489.263354577735</v>
      </c>
      <c r="G238" s="103">
        <f t="shared" si="32"/>
        <v>69736.69429842355</v>
      </c>
      <c r="H238" s="10">
        <f t="shared" si="30"/>
        <v>12259851.302351296</v>
      </c>
    </row>
    <row r="239" spans="2:8" x14ac:dyDescent="0.35">
      <c r="B239" s="9">
        <f t="shared" si="31"/>
        <v>225</v>
      </c>
      <c r="C239" s="60">
        <f t="shared" si="33"/>
        <v>19</v>
      </c>
      <c r="D239" s="61">
        <f t="shared" si="27"/>
        <v>12259851.302351296</v>
      </c>
      <c r="E239" s="62">
        <f t="shared" si="28"/>
        <v>114225.95765300129</v>
      </c>
      <c r="F239" s="103">
        <f t="shared" si="29"/>
        <v>44237.630115984255</v>
      </c>
      <c r="G239" s="103">
        <f t="shared" si="32"/>
        <v>69988.32753701703</v>
      </c>
      <c r="H239" s="10">
        <f t="shared" si="30"/>
        <v>12189862.974814279</v>
      </c>
    </row>
    <row r="240" spans="2:8" x14ac:dyDescent="0.35">
      <c r="B240" s="9">
        <f t="shared" si="31"/>
        <v>226</v>
      </c>
      <c r="C240" s="60">
        <f t="shared" si="33"/>
        <v>19</v>
      </c>
      <c r="D240" s="61">
        <f t="shared" si="27"/>
        <v>12189862.974814279</v>
      </c>
      <c r="E240" s="62">
        <f t="shared" si="28"/>
        <v>114225.95765300129</v>
      </c>
      <c r="F240" s="103">
        <f t="shared" si="29"/>
        <v>43985.088900788185</v>
      </c>
      <c r="G240" s="103">
        <f t="shared" si="32"/>
        <v>70240.868752213108</v>
      </c>
      <c r="H240" s="10">
        <f t="shared" si="30"/>
        <v>12119622.106062066</v>
      </c>
    </row>
    <row r="241" spans="2:8" x14ac:dyDescent="0.35">
      <c r="B241" s="9">
        <f t="shared" si="31"/>
        <v>227</v>
      </c>
      <c r="C241" s="60">
        <f t="shared" si="33"/>
        <v>19</v>
      </c>
      <c r="D241" s="61">
        <f t="shared" si="27"/>
        <v>12119622.106062066</v>
      </c>
      <c r="E241" s="62">
        <f t="shared" si="28"/>
        <v>114225.95765300129</v>
      </c>
      <c r="F241" s="103">
        <f t="shared" si="29"/>
        <v>43731.636432707288</v>
      </c>
      <c r="G241" s="103">
        <f t="shared" si="32"/>
        <v>70494.32122029399</v>
      </c>
      <c r="H241" s="10">
        <f t="shared" si="30"/>
        <v>12049127.784841772</v>
      </c>
    </row>
    <row r="242" spans="2:8" x14ac:dyDescent="0.35">
      <c r="B242" s="9">
        <f t="shared" si="31"/>
        <v>228</v>
      </c>
      <c r="C242" s="60">
        <f t="shared" si="33"/>
        <v>19</v>
      </c>
      <c r="D242" s="61">
        <f t="shared" si="27"/>
        <v>12049127.784841772</v>
      </c>
      <c r="E242" s="62">
        <f t="shared" si="28"/>
        <v>114225.95765300129</v>
      </c>
      <c r="F242" s="103">
        <f t="shared" si="29"/>
        <v>43477.269423637394</v>
      </c>
      <c r="G242" s="103">
        <f t="shared" si="32"/>
        <v>70748.688229363892</v>
      </c>
      <c r="H242" s="10">
        <f t="shared" si="30"/>
        <v>11978379.096612409</v>
      </c>
    </row>
    <row r="243" spans="2:8" x14ac:dyDescent="0.35">
      <c r="B243" s="9">
        <f t="shared" si="31"/>
        <v>229</v>
      </c>
      <c r="C243" s="60">
        <f t="shared" si="33"/>
        <v>20</v>
      </c>
      <c r="D243" s="61">
        <f t="shared" si="27"/>
        <v>11978379.096612409</v>
      </c>
      <c r="E243" s="62">
        <f t="shared" si="28"/>
        <v>114225.95765300129</v>
      </c>
      <c r="F243" s="103">
        <f t="shared" si="29"/>
        <v>43221.98457360977</v>
      </c>
      <c r="G243" s="103">
        <f t="shared" si="32"/>
        <v>71003.973079391522</v>
      </c>
      <c r="H243" s="10">
        <f t="shared" si="30"/>
        <v>11907375.123533018</v>
      </c>
    </row>
    <row r="244" spans="2:8" x14ac:dyDescent="0.35">
      <c r="B244" s="9">
        <f t="shared" si="31"/>
        <v>230</v>
      </c>
      <c r="C244" s="60">
        <f t="shared" si="33"/>
        <v>20</v>
      </c>
      <c r="D244" s="61">
        <f t="shared" si="27"/>
        <v>11907375.123533018</v>
      </c>
      <c r="E244" s="62">
        <f t="shared" si="28"/>
        <v>114225.95765300129</v>
      </c>
      <c r="F244" s="103">
        <f t="shared" si="29"/>
        <v>42965.778570748305</v>
      </c>
      <c r="G244" s="103">
        <f t="shared" si="32"/>
        <v>71260.179082252987</v>
      </c>
      <c r="H244" s="10">
        <f t="shared" si="30"/>
        <v>11836114.944450766</v>
      </c>
    </row>
    <row r="245" spans="2:8" x14ac:dyDescent="0.35">
      <c r="B245" s="9">
        <f t="shared" si="31"/>
        <v>231</v>
      </c>
      <c r="C245" s="60">
        <f t="shared" si="33"/>
        <v>20</v>
      </c>
      <c r="D245" s="61">
        <f t="shared" si="27"/>
        <v>11836114.944450766</v>
      </c>
      <c r="E245" s="62">
        <f t="shared" si="28"/>
        <v>114225.95765300129</v>
      </c>
      <c r="F245" s="103">
        <f t="shared" si="29"/>
        <v>42708.648091226511</v>
      </c>
      <c r="G245" s="103">
        <f t="shared" si="32"/>
        <v>71517.309561774775</v>
      </c>
      <c r="H245" s="10">
        <f t="shared" si="30"/>
        <v>11764597.634888992</v>
      </c>
    </row>
    <row r="246" spans="2:8" x14ac:dyDescent="0.35">
      <c r="B246" s="9">
        <f t="shared" si="31"/>
        <v>232</v>
      </c>
      <c r="C246" s="60">
        <f t="shared" si="33"/>
        <v>20</v>
      </c>
      <c r="D246" s="61">
        <f t="shared" si="27"/>
        <v>11764597.634888992</v>
      </c>
      <c r="E246" s="62">
        <f t="shared" si="28"/>
        <v>114225.95765300129</v>
      </c>
      <c r="F246" s="103">
        <f t="shared" si="29"/>
        <v>42450.589799224443</v>
      </c>
      <c r="G246" s="103">
        <f t="shared" si="32"/>
        <v>71775.367853776843</v>
      </c>
      <c r="H246" s="10">
        <f t="shared" si="30"/>
        <v>11692822.267035214</v>
      </c>
    </row>
    <row r="247" spans="2:8" x14ac:dyDescent="0.35">
      <c r="B247" s="9">
        <f t="shared" si="31"/>
        <v>233</v>
      </c>
      <c r="C247" s="60">
        <f t="shared" si="33"/>
        <v>20</v>
      </c>
      <c r="D247" s="61">
        <f t="shared" si="27"/>
        <v>11692822.267035214</v>
      </c>
      <c r="E247" s="62">
        <f t="shared" si="28"/>
        <v>114225.95765300129</v>
      </c>
      <c r="F247" s="103">
        <f t="shared" si="29"/>
        <v>42191.600346885396</v>
      </c>
      <c r="G247" s="103">
        <f t="shared" si="32"/>
        <v>72034.357306115882</v>
      </c>
      <c r="H247" s="10">
        <f t="shared" si="30"/>
        <v>11620787.909729099</v>
      </c>
    </row>
    <row r="248" spans="2:8" x14ac:dyDescent="0.35">
      <c r="B248" s="9">
        <f t="shared" si="31"/>
        <v>234</v>
      </c>
      <c r="C248" s="60">
        <f t="shared" si="33"/>
        <v>20</v>
      </c>
      <c r="D248" s="61">
        <f t="shared" si="27"/>
        <v>11620787.909729099</v>
      </c>
      <c r="E248" s="62">
        <f t="shared" si="28"/>
        <v>114225.95765300129</v>
      </c>
      <c r="F248" s="103">
        <f t="shared" si="29"/>
        <v>41931.676374272494</v>
      </c>
      <c r="G248" s="103">
        <f t="shared" si="32"/>
        <v>72294.281278728798</v>
      </c>
      <c r="H248" s="10">
        <f t="shared" si="30"/>
        <v>11548493.628450369</v>
      </c>
    </row>
    <row r="249" spans="2:8" x14ac:dyDescent="0.35">
      <c r="B249" s="9">
        <f t="shared" si="31"/>
        <v>235</v>
      </c>
      <c r="C249" s="60">
        <f t="shared" si="33"/>
        <v>20</v>
      </c>
      <c r="D249" s="61">
        <f t="shared" si="27"/>
        <v>11548493.628450369</v>
      </c>
      <c r="E249" s="62">
        <f t="shared" si="28"/>
        <v>114225.95765300129</v>
      </c>
      <c r="F249" s="103">
        <f t="shared" si="29"/>
        <v>41670.814509325079</v>
      </c>
      <c r="G249" s="103">
        <f t="shared" si="32"/>
        <v>72555.143143676207</v>
      </c>
      <c r="H249" s="10">
        <f t="shared" si="30"/>
        <v>11475938.485306693</v>
      </c>
    </row>
    <row r="250" spans="2:8" x14ac:dyDescent="0.35">
      <c r="B250" s="9">
        <f t="shared" si="31"/>
        <v>236</v>
      </c>
      <c r="C250" s="60">
        <f t="shared" si="33"/>
        <v>20</v>
      </c>
      <c r="D250" s="61">
        <f t="shared" si="27"/>
        <v>11475938.485306693</v>
      </c>
      <c r="E250" s="62">
        <f t="shared" si="28"/>
        <v>114225.95765300129</v>
      </c>
      <c r="F250" s="103">
        <f t="shared" si="29"/>
        <v>41409.011367814986</v>
      </c>
      <c r="G250" s="103">
        <f t="shared" si="32"/>
        <v>72816.946285186306</v>
      </c>
      <c r="H250" s="10">
        <f t="shared" si="30"/>
        <v>11403121.539021507</v>
      </c>
    </row>
    <row r="251" spans="2:8" x14ac:dyDescent="0.35">
      <c r="B251" s="9">
        <f t="shared" si="31"/>
        <v>237</v>
      </c>
      <c r="C251" s="60">
        <f t="shared" si="33"/>
        <v>20</v>
      </c>
      <c r="D251" s="61">
        <f t="shared" si="27"/>
        <v>11403121.539021507</v>
      </c>
      <c r="E251" s="62">
        <f t="shared" si="28"/>
        <v>114225.95765300129</v>
      </c>
      <c r="F251" s="103">
        <f t="shared" si="29"/>
        <v>41146.263553302604</v>
      </c>
      <c r="G251" s="103">
        <f t="shared" si="32"/>
        <v>73079.694099698681</v>
      </c>
      <c r="H251" s="10">
        <f t="shared" si="30"/>
        <v>11330041.844921809</v>
      </c>
    </row>
    <row r="252" spans="2:8" x14ac:dyDescent="0.35">
      <c r="B252" s="9">
        <f t="shared" si="31"/>
        <v>238</v>
      </c>
      <c r="C252" s="60">
        <f t="shared" si="33"/>
        <v>20</v>
      </c>
      <c r="D252" s="61">
        <f t="shared" si="27"/>
        <v>11330041.844921809</v>
      </c>
      <c r="E252" s="62">
        <f t="shared" si="28"/>
        <v>114225.95765300129</v>
      </c>
      <c r="F252" s="103">
        <f t="shared" si="29"/>
        <v>40882.567657092855</v>
      </c>
      <c r="G252" s="103">
        <f t="shared" si="32"/>
        <v>73343.389995908423</v>
      </c>
      <c r="H252" s="10">
        <f t="shared" si="30"/>
        <v>11256698.4549259</v>
      </c>
    </row>
    <row r="253" spans="2:8" x14ac:dyDescent="0.35">
      <c r="B253" s="9">
        <f t="shared" si="31"/>
        <v>239</v>
      </c>
      <c r="C253" s="60">
        <f t="shared" si="33"/>
        <v>20</v>
      </c>
      <c r="D253" s="61">
        <f t="shared" si="27"/>
        <v>11256698.4549259</v>
      </c>
      <c r="E253" s="62">
        <f t="shared" si="28"/>
        <v>114225.95765300129</v>
      </c>
      <c r="F253" s="103">
        <f t="shared" si="29"/>
        <v>40617.920258190956</v>
      </c>
      <c r="G253" s="103">
        <f t="shared" si="32"/>
        <v>73608.037394810322</v>
      </c>
      <c r="H253" s="10">
        <f t="shared" si="30"/>
        <v>11183090.41753109</v>
      </c>
    </row>
    <row r="254" spans="2:8" x14ac:dyDescent="0.35">
      <c r="B254" s="9">
        <f t="shared" si="31"/>
        <v>240</v>
      </c>
      <c r="C254" s="60">
        <f t="shared" si="33"/>
        <v>20</v>
      </c>
      <c r="D254" s="61">
        <f t="shared" si="27"/>
        <v>11183090.41753109</v>
      </c>
      <c r="E254" s="62">
        <f t="shared" si="28"/>
        <v>114225.95765300129</v>
      </c>
      <c r="F254" s="103">
        <f t="shared" si="29"/>
        <v>40352.317923258015</v>
      </c>
      <c r="G254" s="103">
        <f t="shared" si="32"/>
        <v>73873.63972974327</v>
      </c>
      <c r="H254" s="10">
        <f t="shared" si="30"/>
        <v>11109216.777801346</v>
      </c>
    </row>
    <row r="255" spans="2:8" x14ac:dyDescent="0.35">
      <c r="B255" s="9">
        <f t="shared" si="31"/>
        <v>241</v>
      </c>
      <c r="C255" s="60">
        <f t="shared" si="33"/>
        <v>21</v>
      </c>
      <c r="D255" s="61">
        <f t="shared" si="27"/>
        <v>11109216.777801346</v>
      </c>
      <c r="E255" s="62">
        <f t="shared" si="28"/>
        <v>114225.95765300129</v>
      </c>
      <c r="F255" s="103">
        <f t="shared" si="29"/>
        <v>40085.757206566523</v>
      </c>
      <c r="G255" s="103">
        <f t="shared" si="32"/>
        <v>74140.200446434756</v>
      </c>
      <c r="H255" s="10">
        <f t="shared" si="30"/>
        <v>11035076.577354912</v>
      </c>
    </row>
    <row r="256" spans="2:8" x14ac:dyDescent="0.35">
      <c r="B256" s="9">
        <f t="shared" si="31"/>
        <v>242</v>
      </c>
      <c r="C256" s="60">
        <f t="shared" si="33"/>
        <v>21</v>
      </c>
      <c r="D256" s="61">
        <f t="shared" si="27"/>
        <v>11035076.577354912</v>
      </c>
      <c r="E256" s="62">
        <f t="shared" si="28"/>
        <v>114225.95765300129</v>
      </c>
      <c r="F256" s="103">
        <f t="shared" si="29"/>
        <v>39818.234649955637</v>
      </c>
      <c r="G256" s="103">
        <f t="shared" si="32"/>
        <v>74407.723003045656</v>
      </c>
      <c r="H256" s="10">
        <f t="shared" si="30"/>
        <v>10960668.854351867</v>
      </c>
    </row>
    <row r="257" spans="2:8" x14ac:dyDescent="0.35">
      <c r="B257" s="9">
        <f t="shared" si="31"/>
        <v>243</v>
      </c>
      <c r="C257" s="60">
        <f t="shared" si="33"/>
        <v>21</v>
      </c>
      <c r="D257" s="61">
        <f t="shared" si="27"/>
        <v>10960668.854351867</v>
      </c>
      <c r="E257" s="62">
        <f t="shared" si="28"/>
        <v>114225.95765300129</v>
      </c>
      <c r="F257" s="103">
        <f t="shared" si="29"/>
        <v>39549.746782786322</v>
      </c>
      <c r="G257" s="103">
        <f t="shared" si="32"/>
        <v>74676.210870214971</v>
      </c>
      <c r="H257" s="10">
        <f t="shared" si="30"/>
        <v>10885992.643481651</v>
      </c>
    </row>
    <row r="258" spans="2:8" x14ac:dyDescent="0.35">
      <c r="B258" s="9">
        <f t="shared" si="31"/>
        <v>244</v>
      </c>
      <c r="C258" s="60">
        <f t="shared" si="33"/>
        <v>21</v>
      </c>
      <c r="D258" s="61">
        <f t="shared" si="27"/>
        <v>10885992.643481651</v>
      </c>
      <c r="E258" s="62">
        <f t="shared" si="28"/>
        <v>114225.95765300129</v>
      </c>
      <c r="F258" s="103">
        <f t="shared" si="29"/>
        <v>39280.290121896287</v>
      </c>
      <c r="G258" s="103">
        <f t="shared" si="32"/>
        <v>74945.667531104991</v>
      </c>
      <c r="H258" s="10">
        <f t="shared" si="30"/>
        <v>10811046.975950547</v>
      </c>
    </row>
    <row r="259" spans="2:8" x14ac:dyDescent="0.35">
      <c r="B259" s="9">
        <f t="shared" si="31"/>
        <v>245</v>
      </c>
      <c r="C259" s="60">
        <f t="shared" si="33"/>
        <v>21</v>
      </c>
      <c r="D259" s="61">
        <f t="shared" si="27"/>
        <v>10811046.975950547</v>
      </c>
      <c r="E259" s="62">
        <f t="shared" si="28"/>
        <v>114225.95765300129</v>
      </c>
      <c r="F259" s="103">
        <f t="shared" si="29"/>
        <v>39009.86117155489</v>
      </c>
      <c r="G259" s="103">
        <f t="shared" si="32"/>
        <v>75216.096481446395</v>
      </c>
      <c r="H259" s="10">
        <f t="shared" si="30"/>
        <v>10735830.8794691</v>
      </c>
    </row>
    <row r="260" spans="2:8" x14ac:dyDescent="0.35">
      <c r="B260" s="9">
        <f t="shared" si="31"/>
        <v>246</v>
      </c>
      <c r="C260" s="60">
        <f t="shared" si="33"/>
        <v>21</v>
      </c>
      <c r="D260" s="61">
        <f t="shared" si="27"/>
        <v>10735830.8794691</v>
      </c>
      <c r="E260" s="62">
        <f t="shared" si="28"/>
        <v>114225.95765300129</v>
      </c>
      <c r="F260" s="103">
        <f t="shared" si="29"/>
        <v>38738.456423417672</v>
      </c>
      <c r="G260" s="103">
        <f t="shared" si="32"/>
        <v>75487.501229583606</v>
      </c>
      <c r="H260" s="10">
        <f t="shared" si="30"/>
        <v>10660343.378239516</v>
      </c>
    </row>
    <row r="261" spans="2:8" x14ac:dyDescent="0.35">
      <c r="B261" s="9">
        <f t="shared" si="31"/>
        <v>247</v>
      </c>
      <c r="C261" s="60">
        <f t="shared" si="33"/>
        <v>21</v>
      </c>
      <c r="D261" s="61">
        <f t="shared" si="27"/>
        <v>10660343.378239516</v>
      </c>
      <c r="E261" s="62">
        <f t="shared" si="28"/>
        <v>114225.95765300129</v>
      </c>
      <c r="F261" s="103">
        <f t="shared" si="29"/>
        <v>38466.072356480916</v>
      </c>
      <c r="G261" s="103">
        <f t="shared" si="32"/>
        <v>75759.88529652037</v>
      </c>
      <c r="H261" s="10">
        <f t="shared" si="30"/>
        <v>10584583.492942996</v>
      </c>
    </row>
    <row r="262" spans="2:8" x14ac:dyDescent="0.35">
      <c r="B262" s="9">
        <f t="shared" si="31"/>
        <v>248</v>
      </c>
      <c r="C262" s="60">
        <f t="shared" si="33"/>
        <v>21</v>
      </c>
      <c r="D262" s="61">
        <f t="shared" si="27"/>
        <v>10584583.492942996</v>
      </c>
      <c r="E262" s="62">
        <f t="shared" si="28"/>
        <v>114225.95765300129</v>
      </c>
      <c r="F262" s="103">
        <f t="shared" si="29"/>
        <v>38192.705437035977</v>
      </c>
      <c r="G262" s="103">
        <f t="shared" si="32"/>
        <v>76033.252215965302</v>
      </c>
      <c r="H262" s="10">
        <f t="shared" si="30"/>
        <v>10508550.240727032</v>
      </c>
    </row>
    <row r="263" spans="2:8" x14ac:dyDescent="0.35">
      <c r="B263" s="9">
        <f t="shared" si="31"/>
        <v>249</v>
      </c>
      <c r="C263" s="60">
        <f t="shared" si="33"/>
        <v>21</v>
      </c>
      <c r="D263" s="61">
        <f t="shared" si="27"/>
        <v>10508550.240727032</v>
      </c>
      <c r="E263" s="62">
        <f t="shared" si="28"/>
        <v>114225.95765300129</v>
      </c>
      <c r="F263" s="103">
        <f t="shared" si="29"/>
        <v>37918.35211862337</v>
      </c>
      <c r="G263" s="103">
        <f t="shared" si="32"/>
        <v>76307.605534377915</v>
      </c>
      <c r="H263" s="10">
        <f t="shared" si="30"/>
        <v>10432242.635192653</v>
      </c>
    </row>
    <row r="264" spans="2:8" x14ac:dyDescent="0.35">
      <c r="B264" s="9">
        <f t="shared" si="31"/>
        <v>250</v>
      </c>
      <c r="C264" s="60">
        <f t="shared" si="33"/>
        <v>21</v>
      </c>
      <c r="D264" s="61">
        <f t="shared" si="27"/>
        <v>10432242.635192653</v>
      </c>
      <c r="E264" s="62">
        <f t="shared" si="28"/>
        <v>114225.95765300129</v>
      </c>
      <c r="F264" s="103">
        <f t="shared" si="29"/>
        <v>37643.008841986819</v>
      </c>
      <c r="G264" s="103">
        <f t="shared" si="32"/>
        <v>76582.948811014474</v>
      </c>
      <c r="H264" s="10">
        <f t="shared" si="30"/>
        <v>10355659.686381638</v>
      </c>
    </row>
    <row r="265" spans="2:8" x14ac:dyDescent="0.35">
      <c r="B265" s="9">
        <f t="shared" si="31"/>
        <v>251</v>
      </c>
      <c r="C265" s="60">
        <f t="shared" si="33"/>
        <v>21</v>
      </c>
      <c r="D265" s="61">
        <f t="shared" si="27"/>
        <v>10355659.686381638</v>
      </c>
      <c r="E265" s="62">
        <f t="shared" si="28"/>
        <v>114225.95765300129</v>
      </c>
      <c r="F265" s="103">
        <f t="shared" si="29"/>
        <v>37366.672035027077</v>
      </c>
      <c r="G265" s="103">
        <f t="shared" si="32"/>
        <v>76859.285617974208</v>
      </c>
      <c r="H265" s="10">
        <f t="shared" si="30"/>
        <v>10278800.400763664</v>
      </c>
    </row>
    <row r="266" spans="2:8" x14ac:dyDescent="0.35">
      <c r="B266" s="9">
        <f t="shared" si="31"/>
        <v>252</v>
      </c>
      <c r="C266" s="60">
        <f t="shared" si="33"/>
        <v>21</v>
      </c>
      <c r="D266" s="61">
        <f t="shared" si="27"/>
        <v>10278800.400763664</v>
      </c>
      <c r="E266" s="62">
        <f t="shared" si="28"/>
        <v>114225.95765300129</v>
      </c>
      <c r="F266" s="103">
        <f t="shared" si="29"/>
        <v>37089.338112755555</v>
      </c>
      <c r="G266" s="103">
        <f t="shared" si="32"/>
        <v>77136.619540245738</v>
      </c>
      <c r="H266" s="10">
        <f t="shared" si="30"/>
        <v>10201663.781223418</v>
      </c>
    </row>
    <row r="267" spans="2:8" x14ac:dyDescent="0.35">
      <c r="B267" s="9">
        <f t="shared" si="31"/>
        <v>253</v>
      </c>
      <c r="C267" s="60">
        <f t="shared" si="33"/>
        <v>22</v>
      </c>
      <c r="D267" s="61">
        <f t="shared" si="27"/>
        <v>10201663.781223418</v>
      </c>
      <c r="E267" s="62">
        <f t="shared" si="28"/>
        <v>114225.95765300129</v>
      </c>
      <c r="F267" s="103">
        <f t="shared" si="29"/>
        <v>36811.003477247832</v>
      </c>
      <c r="G267" s="103">
        <f t="shared" si="32"/>
        <v>77414.954175753461</v>
      </c>
      <c r="H267" s="10">
        <f t="shared" si="30"/>
        <v>10124248.827047665</v>
      </c>
    </row>
    <row r="268" spans="2:8" x14ac:dyDescent="0.35">
      <c r="B268" s="9">
        <f t="shared" si="31"/>
        <v>254</v>
      </c>
      <c r="C268" s="60">
        <f t="shared" si="33"/>
        <v>22</v>
      </c>
      <c r="D268" s="61">
        <f t="shared" si="27"/>
        <v>10124248.827047665</v>
      </c>
      <c r="E268" s="62">
        <f t="shared" si="28"/>
        <v>114225.95765300129</v>
      </c>
      <c r="F268" s="103">
        <f t="shared" si="29"/>
        <v>36531.66451759699</v>
      </c>
      <c r="G268" s="103">
        <f t="shared" si="32"/>
        <v>77694.293135404296</v>
      </c>
      <c r="H268" s="10">
        <f t="shared" si="30"/>
        <v>10046554.53391226</v>
      </c>
    </row>
    <row r="269" spans="2:8" x14ac:dyDescent="0.35">
      <c r="B269" s="9">
        <f t="shared" si="31"/>
        <v>255</v>
      </c>
      <c r="C269" s="60">
        <f t="shared" si="33"/>
        <v>22</v>
      </c>
      <c r="D269" s="61">
        <f t="shared" si="27"/>
        <v>10046554.53391226</v>
      </c>
      <c r="E269" s="62">
        <f t="shared" si="28"/>
        <v>114225.95765300129</v>
      </c>
      <c r="F269" s="103">
        <f t="shared" si="29"/>
        <v>36251.317609866739</v>
      </c>
      <c r="G269" s="103">
        <f t="shared" si="32"/>
        <v>77974.640043134539</v>
      </c>
      <c r="H269" s="10">
        <f t="shared" si="30"/>
        <v>9968579.8938691262</v>
      </c>
    </row>
    <row r="270" spans="2:8" x14ac:dyDescent="0.35">
      <c r="B270" s="9">
        <f t="shared" si="31"/>
        <v>256</v>
      </c>
      <c r="C270" s="60">
        <f t="shared" si="33"/>
        <v>22</v>
      </c>
      <c r="D270" s="61">
        <f t="shared" si="27"/>
        <v>9968579.8938691262</v>
      </c>
      <c r="E270" s="62">
        <f t="shared" si="28"/>
        <v>114225.95765300129</v>
      </c>
      <c r="F270" s="103">
        <f t="shared" si="29"/>
        <v>35969.959117044426</v>
      </c>
      <c r="G270" s="103">
        <f t="shared" si="32"/>
        <v>78255.998535956867</v>
      </c>
      <c r="H270" s="10">
        <f t="shared" si="30"/>
        <v>9890323.895333169</v>
      </c>
    </row>
    <row r="271" spans="2:8" x14ac:dyDescent="0.35">
      <c r="B271" s="9">
        <f t="shared" si="31"/>
        <v>257</v>
      </c>
      <c r="C271" s="60">
        <f t="shared" si="33"/>
        <v>22</v>
      </c>
      <c r="D271" s="61">
        <f t="shared" si="27"/>
        <v>9890323.895333169</v>
      </c>
      <c r="E271" s="62">
        <f t="shared" si="28"/>
        <v>114225.95765300129</v>
      </c>
      <c r="F271" s="103">
        <f t="shared" si="29"/>
        <v>35687.585388993852</v>
      </c>
      <c r="G271" s="103">
        <f t="shared" si="32"/>
        <v>78538.372264007427</v>
      </c>
      <c r="H271" s="10">
        <f t="shared" si="30"/>
        <v>9811785.5230691619</v>
      </c>
    </row>
    <row r="272" spans="2:8" x14ac:dyDescent="0.35">
      <c r="B272" s="9">
        <f t="shared" si="31"/>
        <v>258</v>
      </c>
      <c r="C272" s="60">
        <f t="shared" si="33"/>
        <v>22</v>
      </c>
      <c r="D272" s="61">
        <f t="shared" ref="D272:D335" si="34">H271</f>
        <v>9811785.5230691619</v>
      </c>
      <c r="E272" s="62">
        <f t="shared" ref="E272:E335" si="35">$D$7</f>
        <v>114225.95765300129</v>
      </c>
      <c r="F272" s="103">
        <f t="shared" ref="F272:F335" si="36">D272*($D$4/12)</f>
        <v>35404.192762407889</v>
      </c>
      <c r="G272" s="103">
        <f t="shared" si="32"/>
        <v>78821.764890593389</v>
      </c>
      <c r="H272" s="10">
        <f t="shared" ref="H272:H335" si="37">D272-G272</f>
        <v>9732963.7581785694</v>
      </c>
    </row>
    <row r="273" spans="2:8" x14ac:dyDescent="0.35">
      <c r="B273" s="9">
        <f t="shared" ref="B273:B336" si="38">B272+1</f>
        <v>259</v>
      </c>
      <c r="C273" s="60">
        <f t="shared" si="33"/>
        <v>22</v>
      </c>
      <c r="D273" s="61">
        <f t="shared" si="34"/>
        <v>9732963.7581785694</v>
      </c>
      <c r="E273" s="62">
        <f t="shared" si="35"/>
        <v>114225.95765300129</v>
      </c>
      <c r="F273" s="103">
        <f t="shared" si="36"/>
        <v>35119.777560761002</v>
      </c>
      <c r="G273" s="103">
        <f t="shared" ref="G273:G336" si="39">E273-F273</f>
        <v>79106.180092240276</v>
      </c>
      <c r="H273" s="10">
        <f t="shared" si="37"/>
        <v>9653857.5780863296</v>
      </c>
    </row>
    <row r="274" spans="2:8" x14ac:dyDescent="0.35">
      <c r="B274" s="9">
        <f t="shared" si="38"/>
        <v>260</v>
      </c>
      <c r="C274" s="60">
        <f t="shared" si="33"/>
        <v>22</v>
      </c>
      <c r="D274" s="61">
        <f t="shared" si="34"/>
        <v>9653857.5780863296</v>
      </c>
      <c r="E274" s="62">
        <f t="shared" si="35"/>
        <v>114225.95765300129</v>
      </c>
      <c r="F274" s="103">
        <f t="shared" si="36"/>
        <v>34834.336094261504</v>
      </c>
      <c r="G274" s="103">
        <f t="shared" si="39"/>
        <v>79391.621558739775</v>
      </c>
      <c r="H274" s="10">
        <f t="shared" si="37"/>
        <v>9574465.9565275908</v>
      </c>
    </row>
    <row r="275" spans="2:8" x14ac:dyDescent="0.35">
      <c r="B275" s="9">
        <f t="shared" si="38"/>
        <v>261</v>
      </c>
      <c r="C275" s="60">
        <f t="shared" si="33"/>
        <v>22</v>
      </c>
      <c r="D275" s="61">
        <f t="shared" si="34"/>
        <v>9574465.9565275908</v>
      </c>
      <c r="E275" s="62">
        <f t="shared" si="35"/>
        <v>114225.95765300129</v>
      </c>
      <c r="F275" s="103">
        <f t="shared" si="36"/>
        <v>34547.864659803723</v>
      </c>
      <c r="G275" s="103">
        <f t="shared" si="39"/>
        <v>79678.092993197555</v>
      </c>
      <c r="H275" s="10">
        <f t="shared" si="37"/>
        <v>9494787.8635343928</v>
      </c>
    </row>
    <row r="276" spans="2:8" x14ac:dyDescent="0.35">
      <c r="B276" s="9">
        <f t="shared" si="38"/>
        <v>262</v>
      </c>
      <c r="C276" s="60">
        <f t="shared" si="33"/>
        <v>22</v>
      </c>
      <c r="D276" s="61">
        <f t="shared" si="34"/>
        <v>9494787.8635343928</v>
      </c>
      <c r="E276" s="62">
        <f t="shared" si="35"/>
        <v>114225.95765300129</v>
      </c>
      <c r="F276" s="103">
        <f t="shared" si="36"/>
        <v>34260.359540919933</v>
      </c>
      <c r="G276" s="103">
        <f t="shared" si="39"/>
        <v>79965.598112081352</v>
      </c>
      <c r="H276" s="10">
        <f t="shared" si="37"/>
        <v>9414822.2654223107</v>
      </c>
    </row>
    <row r="277" spans="2:8" x14ac:dyDescent="0.35">
      <c r="B277" s="9">
        <f t="shared" si="38"/>
        <v>263</v>
      </c>
      <c r="C277" s="60">
        <f t="shared" si="33"/>
        <v>22</v>
      </c>
      <c r="D277" s="61">
        <f t="shared" si="34"/>
        <v>9414822.2654223107</v>
      </c>
      <c r="E277" s="62">
        <f t="shared" si="35"/>
        <v>114225.95765300129</v>
      </c>
      <c r="F277" s="103">
        <f t="shared" si="36"/>
        <v>33971.81700773217</v>
      </c>
      <c r="G277" s="103">
        <f t="shared" si="39"/>
        <v>80254.140645269115</v>
      </c>
      <c r="H277" s="10">
        <f t="shared" si="37"/>
        <v>9334568.1247770414</v>
      </c>
    </row>
    <row r="278" spans="2:8" x14ac:dyDescent="0.35">
      <c r="B278" s="9">
        <f t="shared" si="38"/>
        <v>264</v>
      </c>
      <c r="C278" s="60">
        <f t="shared" si="33"/>
        <v>22</v>
      </c>
      <c r="D278" s="61">
        <f t="shared" si="34"/>
        <v>9334568.1247770414</v>
      </c>
      <c r="E278" s="62">
        <f t="shared" si="35"/>
        <v>114225.95765300129</v>
      </c>
      <c r="F278" s="103">
        <f t="shared" si="36"/>
        <v>33682.233316903825</v>
      </c>
      <c r="G278" s="103">
        <f t="shared" si="39"/>
        <v>80543.724336097453</v>
      </c>
      <c r="H278" s="10">
        <f t="shared" si="37"/>
        <v>9254024.4004409444</v>
      </c>
    </row>
    <row r="279" spans="2:8" x14ac:dyDescent="0.35">
      <c r="B279" s="9">
        <f t="shared" si="38"/>
        <v>265</v>
      </c>
      <c r="C279" s="60">
        <f t="shared" si="33"/>
        <v>23</v>
      </c>
      <c r="D279" s="61">
        <f t="shared" si="34"/>
        <v>9254024.4004409444</v>
      </c>
      <c r="E279" s="62">
        <f t="shared" si="35"/>
        <v>114225.95765300129</v>
      </c>
      <c r="F279" s="103">
        <f t="shared" si="36"/>
        <v>33391.60471159107</v>
      </c>
      <c r="G279" s="103">
        <f t="shared" si="39"/>
        <v>80834.352941410209</v>
      </c>
      <c r="H279" s="10">
        <f t="shared" si="37"/>
        <v>9173190.0474995337</v>
      </c>
    </row>
    <row r="280" spans="2:8" x14ac:dyDescent="0.35">
      <c r="B280" s="9">
        <f t="shared" si="38"/>
        <v>266</v>
      </c>
      <c r="C280" s="60">
        <f t="shared" si="33"/>
        <v>23</v>
      </c>
      <c r="D280" s="61">
        <f t="shared" si="34"/>
        <v>9173190.0474995337</v>
      </c>
      <c r="E280" s="62">
        <f t="shared" si="35"/>
        <v>114225.95765300129</v>
      </c>
      <c r="F280" s="103">
        <f t="shared" si="36"/>
        <v>33099.927421394146</v>
      </c>
      <c r="G280" s="103">
        <f t="shared" si="39"/>
        <v>81126.030231607147</v>
      </c>
      <c r="H280" s="10">
        <f t="shared" si="37"/>
        <v>9092064.0172679275</v>
      </c>
    </row>
    <row r="281" spans="2:8" x14ac:dyDescent="0.35">
      <c r="B281" s="9">
        <f t="shared" si="38"/>
        <v>267</v>
      </c>
      <c r="C281" s="60">
        <f t="shared" si="33"/>
        <v>23</v>
      </c>
      <c r="D281" s="61">
        <f t="shared" si="34"/>
        <v>9092064.0172679275</v>
      </c>
      <c r="E281" s="62">
        <f t="shared" si="35"/>
        <v>114225.95765300129</v>
      </c>
      <c r="F281" s="103">
        <f t="shared" si="36"/>
        <v>32807.197662308434</v>
      </c>
      <c r="G281" s="103">
        <f t="shared" si="39"/>
        <v>81418.759990692852</v>
      </c>
      <c r="H281" s="10">
        <f t="shared" si="37"/>
        <v>9010645.2572772354</v>
      </c>
    </row>
    <row r="282" spans="2:8" x14ac:dyDescent="0.35">
      <c r="B282" s="9">
        <f t="shared" si="38"/>
        <v>268</v>
      </c>
      <c r="C282" s="60">
        <f t="shared" si="33"/>
        <v>23</v>
      </c>
      <c r="D282" s="61">
        <f t="shared" si="34"/>
        <v>9010645.2572772354</v>
      </c>
      <c r="E282" s="62">
        <f t="shared" si="35"/>
        <v>114225.95765300129</v>
      </c>
      <c r="F282" s="103">
        <f t="shared" si="36"/>
        <v>32513.411636675355</v>
      </c>
      <c r="G282" s="103">
        <f t="shared" si="39"/>
        <v>81712.546016325927</v>
      </c>
      <c r="H282" s="10">
        <f t="shared" si="37"/>
        <v>8928932.7112609092</v>
      </c>
    </row>
    <row r="283" spans="2:8" x14ac:dyDescent="0.35">
      <c r="B283" s="9">
        <f t="shared" si="38"/>
        <v>269</v>
      </c>
      <c r="C283" s="60">
        <f t="shared" si="33"/>
        <v>23</v>
      </c>
      <c r="D283" s="61">
        <f t="shared" si="34"/>
        <v>8928932.7112609092</v>
      </c>
      <c r="E283" s="62">
        <f t="shared" si="35"/>
        <v>114225.95765300129</v>
      </c>
      <c r="F283" s="103">
        <f t="shared" si="36"/>
        <v>32218.565533133115</v>
      </c>
      <c r="G283" s="103">
        <f t="shared" si="39"/>
        <v>82007.392119868164</v>
      </c>
      <c r="H283" s="10">
        <f t="shared" si="37"/>
        <v>8846925.3191410415</v>
      </c>
    </row>
    <row r="284" spans="2:8" x14ac:dyDescent="0.35">
      <c r="B284" s="9">
        <f t="shared" si="38"/>
        <v>270</v>
      </c>
      <c r="C284" s="60">
        <f t="shared" ref="C284:C347" si="40">C272+1</f>
        <v>23</v>
      </c>
      <c r="D284" s="61">
        <f t="shared" si="34"/>
        <v>8846925.3191410415</v>
      </c>
      <c r="E284" s="62">
        <f t="shared" si="35"/>
        <v>114225.95765300129</v>
      </c>
      <c r="F284" s="103">
        <f t="shared" si="36"/>
        <v>31922.655526567258</v>
      </c>
      <c r="G284" s="103">
        <f t="shared" si="39"/>
        <v>82303.30212643402</v>
      </c>
      <c r="H284" s="10">
        <f t="shared" si="37"/>
        <v>8764622.0170146078</v>
      </c>
    </row>
    <row r="285" spans="2:8" x14ac:dyDescent="0.35">
      <c r="B285" s="9">
        <f t="shared" si="38"/>
        <v>271</v>
      </c>
      <c r="C285" s="60">
        <f t="shared" si="40"/>
        <v>23</v>
      </c>
      <c r="D285" s="61">
        <f t="shared" si="34"/>
        <v>8764622.0170146078</v>
      </c>
      <c r="E285" s="62">
        <f t="shared" si="35"/>
        <v>114225.95765300129</v>
      </c>
      <c r="F285" s="103">
        <f t="shared" si="36"/>
        <v>31625.677778061043</v>
      </c>
      <c r="G285" s="103">
        <f t="shared" si="39"/>
        <v>82600.279874940243</v>
      </c>
      <c r="H285" s="10">
        <f t="shared" si="37"/>
        <v>8682021.7371396683</v>
      </c>
    </row>
    <row r="286" spans="2:8" x14ac:dyDescent="0.35">
      <c r="B286" s="9">
        <f t="shared" si="38"/>
        <v>272</v>
      </c>
      <c r="C286" s="60">
        <f t="shared" si="40"/>
        <v>23</v>
      </c>
      <c r="D286" s="61">
        <f t="shared" si="34"/>
        <v>8682021.7371396683</v>
      </c>
      <c r="E286" s="62">
        <f t="shared" si="35"/>
        <v>114225.95765300129</v>
      </c>
      <c r="F286" s="103">
        <f t="shared" si="36"/>
        <v>31327.628434845636</v>
      </c>
      <c r="G286" s="103">
        <f t="shared" si="39"/>
        <v>82898.329218155646</v>
      </c>
      <c r="H286" s="10">
        <f t="shared" si="37"/>
        <v>8599123.4079215135</v>
      </c>
    </row>
    <row r="287" spans="2:8" x14ac:dyDescent="0.35">
      <c r="B287" s="9">
        <f t="shared" si="38"/>
        <v>273</v>
      </c>
      <c r="C287" s="60">
        <f t="shared" si="40"/>
        <v>23</v>
      </c>
      <c r="D287" s="61">
        <f t="shared" si="34"/>
        <v>8599123.4079215135</v>
      </c>
      <c r="E287" s="62">
        <f t="shared" si="35"/>
        <v>114225.95765300129</v>
      </c>
      <c r="F287" s="103">
        <f t="shared" si="36"/>
        <v>31028.503630250128</v>
      </c>
      <c r="G287" s="103">
        <f t="shared" si="39"/>
        <v>83197.454022751161</v>
      </c>
      <c r="H287" s="10">
        <f t="shared" si="37"/>
        <v>8515925.9538987633</v>
      </c>
    </row>
    <row r="288" spans="2:8" x14ac:dyDescent="0.35">
      <c r="B288" s="9">
        <f t="shared" si="38"/>
        <v>274</v>
      </c>
      <c r="C288" s="60">
        <f t="shared" si="40"/>
        <v>23</v>
      </c>
      <c r="D288" s="61">
        <f t="shared" si="34"/>
        <v>8515925.9538987633</v>
      </c>
      <c r="E288" s="62">
        <f t="shared" si="35"/>
        <v>114225.95765300129</v>
      </c>
      <c r="F288" s="103">
        <f t="shared" si="36"/>
        <v>30728.299483651368</v>
      </c>
      <c r="G288" s="103">
        <f t="shared" si="39"/>
        <v>83497.658169349917</v>
      </c>
      <c r="H288" s="10">
        <f t="shared" si="37"/>
        <v>8432428.2957294136</v>
      </c>
    </row>
    <row r="289" spans="2:8" x14ac:dyDescent="0.35">
      <c r="B289" s="9">
        <f t="shared" si="38"/>
        <v>275</v>
      </c>
      <c r="C289" s="60">
        <f t="shared" si="40"/>
        <v>23</v>
      </c>
      <c r="D289" s="61">
        <f t="shared" si="34"/>
        <v>8432428.2957294136</v>
      </c>
      <c r="E289" s="62">
        <f t="shared" si="35"/>
        <v>114225.95765300129</v>
      </c>
      <c r="F289" s="103">
        <f t="shared" si="36"/>
        <v>30427.012100423632</v>
      </c>
      <c r="G289" s="103">
        <f t="shared" si="39"/>
        <v>83798.945552577658</v>
      </c>
      <c r="H289" s="10">
        <f t="shared" si="37"/>
        <v>8348629.3501768364</v>
      </c>
    </row>
    <row r="290" spans="2:8" x14ac:dyDescent="0.35">
      <c r="B290" s="9">
        <f t="shared" si="38"/>
        <v>276</v>
      </c>
      <c r="C290" s="60">
        <f t="shared" si="40"/>
        <v>23</v>
      </c>
      <c r="D290" s="61">
        <f t="shared" si="34"/>
        <v>8348629.3501768364</v>
      </c>
      <c r="E290" s="62">
        <f t="shared" si="35"/>
        <v>114225.95765300129</v>
      </c>
      <c r="F290" s="103">
        <f t="shared" si="36"/>
        <v>30124.637571888084</v>
      </c>
      <c r="G290" s="103">
        <f t="shared" si="39"/>
        <v>84101.320081113197</v>
      </c>
      <c r="H290" s="10">
        <f t="shared" si="37"/>
        <v>8264528.0300957235</v>
      </c>
    </row>
    <row r="291" spans="2:8" x14ac:dyDescent="0.35">
      <c r="B291" s="9">
        <f t="shared" si="38"/>
        <v>277</v>
      </c>
      <c r="C291" s="60">
        <f t="shared" si="40"/>
        <v>24</v>
      </c>
      <c r="D291" s="61">
        <f t="shared" si="34"/>
        <v>8264528.0300957235</v>
      </c>
      <c r="E291" s="62">
        <f t="shared" si="35"/>
        <v>114225.95765300129</v>
      </c>
      <c r="F291" s="103">
        <f t="shared" si="36"/>
        <v>29821.171975262067</v>
      </c>
      <c r="G291" s="103">
        <f t="shared" si="39"/>
        <v>84404.785677739215</v>
      </c>
      <c r="H291" s="10">
        <f t="shared" si="37"/>
        <v>8180123.244417984</v>
      </c>
    </row>
    <row r="292" spans="2:8" x14ac:dyDescent="0.35">
      <c r="B292" s="9">
        <f t="shared" si="38"/>
        <v>278</v>
      </c>
      <c r="C292" s="60">
        <f t="shared" si="40"/>
        <v>24</v>
      </c>
      <c r="D292" s="61">
        <f t="shared" si="34"/>
        <v>8180123.244417984</v>
      </c>
      <c r="E292" s="62">
        <f t="shared" si="35"/>
        <v>114225.95765300129</v>
      </c>
      <c r="F292" s="103">
        <f t="shared" si="36"/>
        <v>29516.611373608226</v>
      </c>
      <c r="G292" s="103">
        <f t="shared" si="39"/>
        <v>84709.346279393067</v>
      </c>
      <c r="H292" s="10">
        <f t="shared" si="37"/>
        <v>8095413.8981385911</v>
      </c>
    </row>
    <row r="293" spans="2:8" x14ac:dyDescent="0.35">
      <c r="B293" s="9">
        <f t="shared" si="38"/>
        <v>279</v>
      </c>
      <c r="C293" s="60">
        <f t="shared" si="40"/>
        <v>24</v>
      </c>
      <c r="D293" s="61">
        <f t="shared" si="34"/>
        <v>8095413.8981385911</v>
      </c>
      <c r="E293" s="62">
        <f t="shared" si="35"/>
        <v>114225.95765300129</v>
      </c>
      <c r="F293" s="103">
        <f t="shared" si="36"/>
        <v>29210.951815783414</v>
      </c>
      <c r="G293" s="103">
        <f t="shared" si="39"/>
        <v>85015.005837217876</v>
      </c>
      <c r="H293" s="10">
        <f t="shared" si="37"/>
        <v>8010398.8923013732</v>
      </c>
    </row>
    <row r="294" spans="2:8" x14ac:dyDescent="0.35">
      <c r="B294" s="9">
        <f t="shared" si="38"/>
        <v>280</v>
      </c>
      <c r="C294" s="60">
        <f t="shared" si="40"/>
        <v>24</v>
      </c>
      <c r="D294" s="61">
        <f t="shared" si="34"/>
        <v>8010398.8923013732</v>
      </c>
      <c r="E294" s="62">
        <f t="shared" si="35"/>
        <v>114225.95765300129</v>
      </c>
      <c r="F294" s="103">
        <f t="shared" si="36"/>
        <v>28904.189336387455</v>
      </c>
      <c r="G294" s="103">
        <f t="shared" si="39"/>
        <v>85321.76831661383</v>
      </c>
      <c r="H294" s="10">
        <f t="shared" si="37"/>
        <v>7925077.1239847597</v>
      </c>
    </row>
    <row r="295" spans="2:8" x14ac:dyDescent="0.35">
      <c r="B295" s="9">
        <f t="shared" si="38"/>
        <v>281</v>
      </c>
      <c r="C295" s="60">
        <f t="shared" si="40"/>
        <v>24</v>
      </c>
      <c r="D295" s="61">
        <f t="shared" si="34"/>
        <v>7925077.1239847597</v>
      </c>
      <c r="E295" s="62">
        <f t="shared" si="35"/>
        <v>114225.95765300129</v>
      </c>
      <c r="F295" s="103">
        <f t="shared" si="36"/>
        <v>28596.319955711675</v>
      </c>
      <c r="G295" s="103">
        <f t="shared" si="39"/>
        <v>85629.637697289611</v>
      </c>
      <c r="H295" s="10">
        <f t="shared" si="37"/>
        <v>7839447.48628747</v>
      </c>
    </row>
    <row r="296" spans="2:8" x14ac:dyDescent="0.35">
      <c r="B296" s="9">
        <f t="shared" si="38"/>
        <v>282</v>
      </c>
      <c r="C296" s="60">
        <f t="shared" si="40"/>
        <v>24</v>
      </c>
      <c r="D296" s="61">
        <f t="shared" si="34"/>
        <v>7839447.48628747</v>
      </c>
      <c r="E296" s="62">
        <f t="shared" si="35"/>
        <v>114225.95765300129</v>
      </c>
      <c r="F296" s="103">
        <f t="shared" si="36"/>
        <v>28287.339679687288</v>
      </c>
      <c r="G296" s="103">
        <f t="shared" si="39"/>
        <v>85938.617973314002</v>
      </c>
      <c r="H296" s="10">
        <f t="shared" si="37"/>
        <v>7753508.8683141563</v>
      </c>
    </row>
    <row r="297" spans="2:8" x14ac:dyDescent="0.35">
      <c r="B297" s="9">
        <f t="shared" si="38"/>
        <v>283</v>
      </c>
      <c r="C297" s="60">
        <f t="shared" si="40"/>
        <v>24</v>
      </c>
      <c r="D297" s="61">
        <f t="shared" si="34"/>
        <v>7753508.8683141563</v>
      </c>
      <c r="E297" s="62">
        <f t="shared" si="35"/>
        <v>114225.95765300129</v>
      </c>
      <c r="F297" s="103">
        <f t="shared" si="36"/>
        <v>27977.244499833578</v>
      </c>
      <c r="G297" s="103">
        <f t="shared" si="39"/>
        <v>86248.713153167715</v>
      </c>
      <c r="H297" s="10">
        <f t="shared" si="37"/>
        <v>7667260.1551609887</v>
      </c>
    </row>
    <row r="298" spans="2:8" x14ac:dyDescent="0.35">
      <c r="B298" s="9">
        <f t="shared" si="38"/>
        <v>284</v>
      </c>
      <c r="C298" s="60">
        <f t="shared" si="40"/>
        <v>24</v>
      </c>
      <c r="D298" s="61">
        <f t="shared" si="34"/>
        <v>7667260.1551609887</v>
      </c>
      <c r="E298" s="62">
        <f t="shared" si="35"/>
        <v>114225.95765300129</v>
      </c>
      <c r="F298" s="103">
        <f t="shared" si="36"/>
        <v>27666.0303932059</v>
      </c>
      <c r="G298" s="103">
        <f t="shared" si="39"/>
        <v>86559.927259795382</v>
      </c>
      <c r="H298" s="10">
        <f t="shared" si="37"/>
        <v>7580700.2279011933</v>
      </c>
    </row>
    <row r="299" spans="2:8" x14ac:dyDescent="0.35">
      <c r="B299" s="9">
        <f t="shared" si="38"/>
        <v>285</v>
      </c>
      <c r="C299" s="60">
        <f t="shared" si="40"/>
        <v>24</v>
      </c>
      <c r="D299" s="61">
        <f t="shared" si="34"/>
        <v>7580700.2279011933</v>
      </c>
      <c r="E299" s="62">
        <f t="shared" si="35"/>
        <v>114225.95765300129</v>
      </c>
      <c r="F299" s="103">
        <f t="shared" si="36"/>
        <v>27353.693322343472</v>
      </c>
      <c r="G299" s="103">
        <f t="shared" si="39"/>
        <v>86872.26433065781</v>
      </c>
      <c r="H299" s="10">
        <f t="shared" si="37"/>
        <v>7493827.9635705352</v>
      </c>
    </row>
    <row r="300" spans="2:8" x14ac:dyDescent="0.35">
      <c r="B300" s="9">
        <f t="shared" si="38"/>
        <v>286</v>
      </c>
      <c r="C300" s="60">
        <f t="shared" si="40"/>
        <v>24</v>
      </c>
      <c r="D300" s="61">
        <f t="shared" si="34"/>
        <v>7493827.9635705352</v>
      </c>
      <c r="E300" s="62">
        <f t="shared" si="35"/>
        <v>114225.95765300129</v>
      </c>
      <c r="F300" s="103">
        <f t="shared" si="36"/>
        <v>27040.229235217012</v>
      </c>
      <c r="G300" s="103">
        <f t="shared" si="39"/>
        <v>87185.728417784267</v>
      </c>
      <c r="H300" s="10">
        <f t="shared" si="37"/>
        <v>7406642.2351527512</v>
      </c>
    </row>
    <row r="301" spans="2:8" x14ac:dyDescent="0.35">
      <c r="B301" s="9">
        <f t="shared" si="38"/>
        <v>287</v>
      </c>
      <c r="C301" s="60">
        <f t="shared" si="40"/>
        <v>24</v>
      </c>
      <c r="D301" s="61">
        <f t="shared" si="34"/>
        <v>7406642.2351527512</v>
      </c>
      <c r="E301" s="62">
        <f t="shared" si="35"/>
        <v>114225.95765300129</v>
      </c>
      <c r="F301" s="103">
        <f t="shared" si="36"/>
        <v>26725.634065176175</v>
      </c>
      <c r="G301" s="103">
        <f t="shared" si="39"/>
        <v>87500.323587825114</v>
      </c>
      <c r="H301" s="10">
        <f t="shared" si="37"/>
        <v>7319141.9115649257</v>
      </c>
    </row>
    <row r="302" spans="2:8" x14ac:dyDescent="0.35">
      <c r="B302" s="9">
        <f t="shared" si="38"/>
        <v>288</v>
      </c>
      <c r="C302" s="60">
        <f t="shared" si="40"/>
        <v>24</v>
      </c>
      <c r="D302" s="61">
        <f t="shared" si="34"/>
        <v>7319141.9115649257</v>
      </c>
      <c r="E302" s="62">
        <f t="shared" si="35"/>
        <v>114225.95765300129</v>
      </c>
      <c r="F302" s="103">
        <f t="shared" si="36"/>
        <v>26409.903730896771</v>
      </c>
      <c r="G302" s="103">
        <f t="shared" si="39"/>
        <v>87816.053922104518</v>
      </c>
      <c r="H302" s="10">
        <f t="shared" si="37"/>
        <v>7231325.857642821</v>
      </c>
    </row>
    <row r="303" spans="2:8" x14ac:dyDescent="0.35">
      <c r="B303" s="9">
        <f t="shared" si="38"/>
        <v>289</v>
      </c>
      <c r="C303" s="60">
        <f t="shared" si="40"/>
        <v>25</v>
      </c>
      <c r="D303" s="61">
        <f t="shared" si="34"/>
        <v>7231325.857642821</v>
      </c>
      <c r="E303" s="62">
        <f t="shared" si="35"/>
        <v>114225.95765300129</v>
      </c>
      <c r="F303" s="103">
        <f t="shared" si="36"/>
        <v>26093.034136327846</v>
      </c>
      <c r="G303" s="103">
        <f t="shared" si="39"/>
        <v>88132.923516673443</v>
      </c>
      <c r="H303" s="10">
        <f t="shared" si="37"/>
        <v>7143192.934126148</v>
      </c>
    </row>
    <row r="304" spans="2:8" x14ac:dyDescent="0.35">
      <c r="B304" s="9">
        <f t="shared" si="38"/>
        <v>290</v>
      </c>
      <c r="C304" s="60">
        <f t="shared" si="40"/>
        <v>25</v>
      </c>
      <c r="D304" s="61">
        <f t="shared" si="34"/>
        <v>7143192.934126148</v>
      </c>
      <c r="E304" s="62">
        <f t="shared" si="35"/>
        <v>114225.95765300129</v>
      </c>
      <c r="F304" s="103">
        <f t="shared" si="36"/>
        <v>25775.021170638516</v>
      </c>
      <c r="G304" s="103">
        <f t="shared" si="39"/>
        <v>88450.936482362769</v>
      </c>
      <c r="H304" s="10">
        <f t="shared" si="37"/>
        <v>7054741.9976437856</v>
      </c>
    </row>
    <row r="305" spans="2:8" x14ac:dyDescent="0.35">
      <c r="B305" s="9">
        <f t="shared" si="38"/>
        <v>291</v>
      </c>
      <c r="C305" s="60">
        <f t="shared" si="40"/>
        <v>25</v>
      </c>
      <c r="D305" s="61">
        <f t="shared" si="34"/>
        <v>7054741.9976437856</v>
      </c>
      <c r="E305" s="62">
        <f t="shared" si="35"/>
        <v>114225.95765300129</v>
      </c>
      <c r="F305" s="103">
        <f t="shared" si="36"/>
        <v>25455.860708164659</v>
      </c>
      <c r="G305" s="103">
        <f t="shared" si="39"/>
        <v>88770.096944836623</v>
      </c>
      <c r="H305" s="10">
        <f t="shared" si="37"/>
        <v>6965971.9006989487</v>
      </c>
    </row>
    <row r="306" spans="2:8" x14ac:dyDescent="0.35">
      <c r="B306" s="9">
        <f t="shared" si="38"/>
        <v>292</v>
      </c>
      <c r="C306" s="60">
        <f t="shared" si="40"/>
        <v>25</v>
      </c>
      <c r="D306" s="61">
        <f t="shared" si="34"/>
        <v>6965971.9006989487</v>
      </c>
      <c r="E306" s="62">
        <f t="shared" si="35"/>
        <v>114225.95765300129</v>
      </c>
      <c r="F306" s="103">
        <f t="shared" si="36"/>
        <v>25135.548608355373</v>
      </c>
      <c r="G306" s="103">
        <f t="shared" si="39"/>
        <v>89090.409044645916</v>
      </c>
      <c r="H306" s="10">
        <f t="shared" si="37"/>
        <v>6876881.4916543029</v>
      </c>
    </row>
    <row r="307" spans="2:8" x14ac:dyDescent="0.35">
      <c r="B307" s="9">
        <f t="shared" si="38"/>
        <v>293</v>
      </c>
      <c r="C307" s="60">
        <f t="shared" si="40"/>
        <v>25</v>
      </c>
      <c r="D307" s="61">
        <f t="shared" si="34"/>
        <v>6876881.4916543029</v>
      </c>
      <c r="E307" s="62">
        <f t="shared" si="35"/>
        <v>114225.95765300129</v>
      </c>
      <c r="F307" s="103">
        <f t="shared" si="36"/>
        <v>24814.080715719276</v>
      </c>
      <c r="G307" s="103">
        <f t="shared" si="39"/>
        <v>89411.87693728201</v>
      </c>
      <c r="H307" s="10">
        <f t="shared" si="37"/>
        <v>6787469.6147170207</v>
      </c>
    </row>
    <row r="308" spans="2:8" x14ac:dyDescent="0.35">
      <c r="B308" s="9">
        <f t="shared" si="38"/>
        <v>294</v>
      </c>
      <c r="C308" s="60">
        <f t="shared" si="40"/>
        <v>25</v>
      </c>
      <c r="D308" s="61">
        <f t="shared" si="34"/>
        <v>6787469.6147170207</v>
      </c>
      <c r="E308" s="62">
        <f t="shared" si="35"/>
        <v>114225.95765300129</v>
      </c>
      <c r="F308" s="103">
        <f t="shared" si="36"/>
        <v>24491.452859770583</v>
      </c>
      <c r="G308" s="103">
        <f t="shared" si="39"/>
        <v>89734.504793230706</v>
      </c>
      <c r="H308" s="10">
        <f t="shared" si="37"/>
        <v>6697735.1099237902</v>
      </c>
    </row>
    <row r="309" spans="2:8" x14ac:dyDescent="0.35">
      <c r="B309" s="9">
        <f t="shared" si="38"/>
        <v>295</v>
      </c>
      <c r="C309" s="60">
        <f t="shared" si="40"/>
        <v>25</v>
      </c>
      <c r="D309" s="61">
        <f t="shared" si="34"/>
        <v>6697735.1099237902</v>
      </c>
      <c r="E309" s="62">
        <f t="shared" si="35"/>
        <v>114225.95765300129</v>
      </c>
      <c r="F309" s="103">
        <f t="shared" si="36"/>
        <v>24167.660854975009</v>
      </c>
      <c r="G309" s="103">
        <f t="shared" si="39"/>
        <v>90058.296798026277</v>
      </c>
      <c r="H309" s="10">
        <f t="shared" si="37"/>
        <v>6607676.813125764</v>
      </c>
    </row>
    <row r="310" spans="2:8" x14ac:dyDescent="0.35">
      <c r="B310" s="9">
        <f t="shared" si="38"/>
        <v>296</v>
      </c>
      <c r="C310" s="60">
        <f t="shared" si="40"/>
        <v>25</v>
      </c>
      <c r="D310" s="61">
        <f t="shared" si="34"/>
        <v>6607676.813125764</v>
      </c>
      <c r="E310" s="62">
        <f t="shared" si="35"/>
        <v>114225.95765300129</v>
      </c>
      <c r="F310" s="103">
        <f t="shared" si="36"/>
        <v>23842.700500695464</v>
      </c>
      <c r="G310" s="103">
        <f t="shared" si="39"/>
        <v>90383.257152305829</v>
      </c>
      <c r="H310" s="10">
        <f t="shared" si="37"/>
        <v>6517293.5559734581</v>
      </c>
    </row>
    <row r="311" spans="2:8" x14ac:dyDescent="0.35">
      <c r="B311" s="9">
        <f t="shared" si="38"/>
        <v>297</v>
      </c>
      <c r="C311" s="60">
        <f t="shared" si="40"/>
        <v>25</v>
      </c>
      <c r="D311" s="61">
        <f t="shared" si="34"/>
        <v>6517293.5559734581</v>
      </c>
      <c r="E311" s="62">
        <f t="shared" si="35"/>
        <v>114225.95765300129</v>
      </c>
      <c r="F311" s="103">
        <f t="shared" si="36"/>
        <v>23516.567581137559</v>
      </c>
      <c r="G311" s="103">
        <f t="shared" si="39"/>
        <v>90709.390071863731</v>
      </c>
      <c r="H311" s="10">
        <f t="shared" si="37"/>
        <v>6426584.1659015948</v>
      </c>
    </row>
    <row r="312" spans="2:8" x14ac:dyDescent="0.35">
      <c r="B312" s="9">
        <f t="shared" si="38"/>
        <v>298</v>
      </c>
      <c r="C312" s="60">
        <f t="shared" si="40"/>
        <v>25</v>
      </c>
      <c r="D312" s="61">
        <f t="shared" si="34"/>
        <v>6426584.1659015948</v>
      </c>
      <c r="E312" s="62">
        <f t="shared" si="35"/>
        <v>114225.95765300129</v>
      </c>
      <c r="F312" s="103">
        <f t="shared" si="36"/>
        <v>23189.25786529492</v>
      </c>
      <c r="G312" s="103">
        <f t="shared" si="39"/>
        <v>91036.69978770637</v>
      </c>
      <c r="H312" s="10">
        <f t="shared" si="37"/>
        <v>6335547.4661138887</v>
      </c>
    </row>
    <row r="313" spans="2:8" x14ac:dyDescent="0.35">
      <c r="B313" s="9">
        <f t="shared" si="38"/>
        <v>299</v>
      </c>
      <c r="C313" s="60">
        <f t="shared" si="40"/>
        <v>25</v>
      </c>
      <c r="D313" s="61">
        <f t="shared" si="34"/>
        <v>6335547.4661138887</v>
      </c>
      <c r="E313" s="62">
        <f t="shared" si="35"/>
        <v>114225.95765300129</v>
      </c>
      <c r="F313" s="103">
        <f t="shared" si="36"/>
        <v>22860.76710689428</v>
      </c>
      <c r="G313" s="103">
        <f t="shared" si="39"/>
        <v>91365.190546107013</v>
      </c>
      <c r="H313" s="10">
        <f t="shared" si="37"/>
        <v>6244182.2755677812</v>
      </c>
    </row>
    <row r="314" spans="2:8" x14ac:dyDescent="0.35">
      <c r="B314" s="9">
        <f t="shared" si="38"/>
        <v>300</v>
      </c>
      <c r="C314" s="60">
        <f t="shared" si="40"/>
        <v>25</v>
      </c>
      <c r="D314" s="61">
        <f t="shared" si="34"/>
        <v>6244182.2755677812</v>
      </c>
      <c r="E314" s="62">
        <f t="shared" si="35"/>
        <v>114225.95765300129</v>
      </c>
      <c r="F314" s="103">
        <f t="shared" si="36"/>
        <v>22531.09104434041</v>
      </c>
      <c r="G314" s="103">
        <f t="shared" si="39"/>
        <v>91694.866608660872</v>
      </c>
      <c r="H314" s="10">
        <f t="shared" si="37"/>
        <v>6152487.4089591205</v>
      </c>
    </row>
    <row r="315" spans="2:8" x14ac:dyDescent="0.35">
      <c r="B315" s="9">
        <f t="shared" si="38"/>
        <v>301</v>
      </c>
      <c r="C315" s="60">
        <f t="shared" si="40"/>
        <v>26</v>
      </c>
      <c r="D315" s="61">
        <f t="shared" si="34"/>
        <v>6152487.4089591205</v>
      </c>
      <c r="E315" s="62">
        <f t="shared" si="35"/>
        <v>114225.95765300129</v>
      </c>
      <c r="F315" s="103">
        <f t="shared" si="36"/>
        <v>22200.225400660827</v>
      </c>
      <c r="G315" s="103">
        <f t="shared" si="39"/>
        <v>92025.732252340458</v>
      </c>
      <c r="H315" s="10">
        <f t="shared" si="37"/>
        <v>6060461.6767067797</v>
      </c>
    </row>
    <row r="316" spans="2:8" x14ac:dyDescent="0.35">
      <c r="B316" s="9">
        <f t="shared" si="38"/>
        <v>302</v>
      </c>
      <c r="C316" s="60">
        <f t="shared" si="40"/>
        <v>26</v>
      </c>
      <c r="D316" s="61">
        <f t="shared" si="34"/>
        <v>6060461.6767067797</v>
      </c>
      <c r="E316" s="62">
        <f t="shared" si="35"/>
        <v>114225.95765300129</v>
      </c>
      <c r="F316" s="103">
        <f t="shared" si="36"/>
        <v>21868.165883450296</v>
      </c>
      <c r="G316" s="103">
        <f t="shared" si="39"/>
        <v>92357.791769550997</v>
      </c>
      <c r="H316" s="10">
        <f t="shared" si="37"/>
        <v>5968103.8849372286</v>
      </c>
    </row>
    <row r="317" spans="2:8" x14ac:dyDescent="0.35">
      <c r="B317" s="9">
        <f t="shared" si="38"/>
        <v>303</v>
      </c>
      <c r="C317" s="60">
        <f t="shared" si="40"/>
        <v>26</v>
      </c>
      <c r="D317" s="61">
        <f t="shared" si="34"/>
        <v>5968103.8849372286</v>
      </c>
      <c r="E317" s="62">
        <f t="shared" si="35"/>
        <v>114225.95765300129</v>
      </c>
      <c r="F317" s="103">
        <f t="shared" si="36"/>
        <v>21534.908184815165</v>
      </c>
      <c r="G317" s="103">
        <f t="shared" si="39"/>
        <v>92691.049468186116</v>
      </c>
      <c r="H317" s="10">
        <f t="shared" si="37"/>
        <v>5875412.8354690429</v>
      </c>
    </row>
    <row r="318" spans="2:8" x14ac:dyDescent="0.35">
      <c r="B318" s="9">
        <f t="shared" si="38"/>
        <v>304</v>
      </c>
      <c r="C318" s="60">
        <f t="shared" si="40"/>
        <v>26</v>
      </c>
      <c r="D318" s="61">
        <f t="shared" si="34"/>
        <v>5875412.8354690429</v>
      </c>
      <c r="E318" s="62">
        <f t="shared" si="35"/>
        <v>114225.95765300129</v>
      </c>
      <c r="F318" s="103">
        <f t="shared" si="36"/>
        <v>21200.447981317462</v>
      </c>
      <c r="G318" s="103">
        <f t="shared" si="39"/>
        <v>93025.509671683831</v>
      </c>
      <c r="H318" s="10">
        <f t="shared" si="37"/>
        <v>5782387.3257973595</v>
      </c>
    </row>
    <row r="319" spans="2:8" x14ac:dyDescent="0.35">
      <c r="B319" s="9">
        <f t="shared" si="38"/>
        <v>305</v>
      </c>
      <c r="C319" s="60">
        <f t="shared" si="40"/>
        <v>26</v>
      </c>
      <c r="D319" s="61">
        <f t="shared" si="34"/>
        <v>5782387.3257973595</v>
      </c>
      <c r="E319" s="62">
        <f t="shared" si="35"/>
        <v>114225.95765300129</v>
      </c>
      <c r="F319" s="103">
        <f t="shared" si="36"/>
        <v>20864.780933918806</v>
      </c>
      <c r="G319" s="103">
        <f t="shared" si="39"/>
        <v>93361.176719082476</v>
      </c>
      <c r="H319" s="10">
        <f t="shared" si="37"/>
        <v>5689026.1490782769</v>
      </c>
    </row>
    <row r="320" spans="2:8" x14ac:dyDescent="0.35">
      <c r="B320" s="9">
        <f t="shared" si="38"/>
        <v>306</v>
      </c>
      <c r="C320" s="60">
        <f t="shared" si="40"/>
        <v>26</v>
      </c>
      <c r="D320" s="61">
        <f t="shared" si="34"/>
        <v>5689026.1490782769</v>
      </c>
      <c r="E320" s="62">
        <f t="shared" si="35"/>
        <v>114225.95765300129</v>
      </c>
      <c r="F320" s="103">
        <f t="shared" si="36"/>
        <v>20527.902687924114</v>
      </c>
      <c r="G320" s="103">
        <f t="shared" si="39"/>
        <v>93698.054965077172</v>
      </c>
      <c r="H320" s="10">
        <f t="shared" si="37"/>
        <v>5595328.0941132</v>
      </c>
    </row>
    <row r="321" spans="2:8" x14ac:dyDescent="0.35">
      <c r="B321" s="9">
        <f t="shared" si="38"/>
        <v>307</v>
      </c>
      <c r="C321" s="60">
        <f t="shared" si="40"/>
        <v>26</v>
      </c>
      <c r="D321" s="61">
        <f t="shared" si="34"/>
        <v>5595328.0941132</v>
      </c>
      <c r="E321" s="62">
        <f t="shared" si="35"/>
        <v>114225.95765300129</v>
      </c>
      <c r="F321" s="103">
        <f t="shared" si="36"/>
        <v>20189.808872925129</v>
      </c>
      <c r="G321" s="103">
        <f t="shared" si="39"/>
        <v>94036.148780076153</v>
      </c>
      <c r="H321" s="10">
        <f t="shared" si="37"/>
        <v>5501291.9453331241</v>
      </c>
    </row>
    <row r="322" spans="2:8" x14ac:dyDescent="0.35">
      <c r="B322" s="9">
        <f t="shared" si="38"/>
        <v>308</v>
      </c>
      <c r="C322" s="60">
        <f t="shared" si="40"/>
        <v>26</v>
      </c>
      <c r="D322" s="61">
        <f t="shared" si="34"/>
        <v>5501291.9453331241</v>
      </c>
      <c r="E322" s="62">
        <f t="shared" si="35"/>
        <v>114225.95765300129</v>
      </c>
      <c r="F322" s="103">
        <f t="shared" si="36"/>
        <v>19850.495102743687</v>
      </c>
      <c r="G322" s="103">
        <f t="shared" si="39"/>
        <v>94375.462550257595</v>
      </c>
      <c r="H322" s="10">
        <f t="shared" si="37"/>
        <v>5406916.4827828668</v>
      </c>
    </row>
    <row r="323" spans="2:8" x14ac:dyDescent="0.35">
      <c r="B323" s="9">
        <f t="shared" si="38"/>
        <v>309</v>
      </c>
      <c r="C323" s="60">
        <f t="shared" si="40"/>
        <v>26</v>
      </c>
      <c r="D323" s="61">
        <f t="shared" si="34"/>
        <v>5406916.4827828668</v>
      </c>
      <c r="E323" s="62">
        <f t="shared" si="35"/>
        <v>114225.95765300129</v>
      </c>
      <c r="F323" s="103">
        <f t="shared" si="36"/>
        <v>19509.956975374844</v>
      </c>
      <c r="G323" s="103">
        <f t="shared" si="39"/>
        <v>94716.000677626434</v>
      </c>
      <c r="H323" s="10">
        <f t="shared" si="37"/>
        <v>5312200.4821052402</v>
      </c>
    </row>
    <row r="324" spans="2:8" x14ac:dyDescent="0.35">
      <c r="B324" s="9">
        <f t="shared" si="38"/>
        <v>310</v>
      </c>
      <c r="C324" s="60">
        <f t="shared" si="40"/>
        <v>26</v>
      </c>
      <c r="D324" s="61">
        <f t="shared" si="34"/>
        <v>5312200.4821052402</v>
      </c>
      <c r="E324" s="62">
        <f t="shared" si="35"/>
        <v>114225.95765300129</v>
      </c>
      <c r="F324" s="103">
        <f t="shared" si="36"/>
        <v>19168.190072929741</v>
      </c>
      <c r="G324" s="103">
        <f t="shared" si="39"/>
        <v>95057.767580071551</v>
      </c>
      <c r="H324" s="10">
        <f t="shared" si="37"/>
        <v>5217142.7145251688</v>
      </c>
    </row>
    <row r="325" spans="2:8" x14ac:dyDescent="0.35">
      <c r="B325" s="9">
        <f t="shared" si="38"/>
        <v>311</v>
      </c>
      <c r="C325" s="60">
        <f t="shared" si="40"/>
        <v>26</v>
      </c>
      <c r="D325" s="61">
        <f t="shared" si="34"/>
        <v>5217142.7145251688</v>
      </c>
      <c r="E325" s="62">
        <f t="shared" si="35"/>
        <v>114225.95765300129</v>
      </c>
      <c r="F325" s="103">
        <f t="shared" si="36"/>
        <v>18825.189961578315</v>
      </c>
      <c r="G325" s="103">
        <f t="shared" si="39"/>
        <v>95400.767691422967</v>
      </c>
      <c r="H325" s="10">
        <f t="shared" si="37"/>
        <v>5121741.9468337456</v>
      </c>
    </row>
    <row r="326" spans="2:8" x14ac:dyDescent="0.35">
      <c r="B326" s="9">
        <f t="shared" si="38"/>
        <v>312</v>
      </c>
      <c r="C326" s="60">
        <f t="shared" si="40"/>
        <v>26</v>
      </c>
      <c r="D326" s="61">
        <f t="shared" si="34"/>
        <v>5121741.9468337456</v>
      </c>
      <c r="E326" s="62">
        <f t="shared" si="35"/>
        <v>114225.95765300129</v>
      </c>
      <c r="F326" s="103">
        <f t="shared" si="36"/>
        <v>18480.952191491764</v>
      </c>
      <c r="G326" s="103">
        <f t="shared" si="39"/>
        <v>95745.005461509514</v>
      </c>
      <c r="H326" s="10">
        <f t="shared" si="37"/>
        <v>5025996.9413722362</v>
      </c>
    </row>
    <row r="327" spans="2:8" x14ac:dyDescent="0.35">
      <c r="B327" s="9">
        <f t="shared" si="38"/>
        <v>313</v>
      </c>
      <c r="C327" s="60">
        <f t="shared" si="40"/>
        <v>27</v>
      </c>
      <c r="D327" s="61">
        <f t="shared" si="34"/>
        <v>5025996.9413722362</v>
      </c>
      <c r="E327" s="62">
        <f t="shared" si="35"/>
        <v>114225.95765300129</v>
      </c>
      <c r="F327" s="103">
        <f t="shared" si="36"/>
        <v>18135.472296784817</v>
      </c>
      <c r="G327" s="103">
        <f t="shared" si="39"/>
        <v>96090.485356216464</v>
      </c>
      <c r="H327" s="10">
        <f t="shared" si="37"/>
        <v>4929906.4560160199</v>
      </c>
    </row>
    <row r="328" spans="2:8" x14ac:dyDescent="0.35">
      <c r="B328" s="9">
        <f t="shared" si="38"/>
        <v>314</v>
      </c>
      <c r="C328" s="60">
        <f t="shared" si="40"/>
        <v>27</v>
      </c>
      <c r="D328" s="61">
        <f t="shared" si="34"/>
        <v>4929906.4560160199</v>
      </c>
      <c r="E328" s="62">
        <f t="shared" si="35"/>
        <v>114225.95765300129</v>
      </c>
      <c r="F328" s="103">
        <f t="shared" si="36"/>
        <v>17788.745795457806</v>
      </c>
      <c r="G328" s="103">
        <f t="shared" si="39"/>
        <v>96437.211857543472</v>
      </c>
      <c r="H328" s="10">
        <f t="shared" si="37"/>
        <v>4833469.2441584766</v>
      </c>
    </row>
    <row r="329" spans="2:8" x14ac:dyDescent="0.35">
      <c r="B329" s="9">
        <f t="shared" si="38"/>
        <v>315</v>
      </c>
      <c r="C329" s="60">
        <f t="shared" si="40"/>
        <v>27</v>
      </c>
      <c r="D329" s="61">
        <f t="shared" si="34"/>
        <v>4833469.2441584766</v>
      </c>
      <c r="E329" s="62">
        <f t="shared" si="35"/>
        <v>114225.95765300129</v>
      </c>
      <c r="F329" s="103">
        <f t="shared" si="36"/>
        <v>17440.768189338502</v>
      </c>
      <c r="G329" s="103">
        <f t="shared" si="39"/>
        <v>96785.189463662784</v>
      </c>
      <c r="H329" s="10">
        <f t="shared" si="37"/>
        <v>4736684.0546948137</v>
      </c>
    </row>
    <row r="330" spans="2:8" x14ac:dyDescent="0.35">
      <c r="B330" s="9">
        <f t="shared" si="38"/>
        <v>316</v>
      </c>
      <c r="C330" s="60">
        <f t="shared" si="40"/>
        <v>27</v>
      </c>
      <c r="D330" s="61">
        <f t="shared" si="34"/>
        <v>4736684.0546948137</v>
      </c>
      <c r="E330" s="62">
        <f t="shared" si="35"/>
        <v>114225.95765300129</v>
      </c>
      <c r="F330" s="103">
        <f t="shared" si="36"/>
        <v>17091.534964023784</v>
      </c>
      <c r="G330" s="103">
        <f t="shared" si="39"/>
        <v>97134.422688977502</v>
      </c>
      <c r="H330" s="10">
        <f t="shared" si="37"/>
        <v>4639549.6320058359</v>
      </c>
    </row>
    <row r="331" spans="2:8" x14ac:dyDescent="0.35">
      <c r="B331" s="9">
        <f t="shared" si="38"/>
        <v>317</v>
      </c>
      <c r="C331" s="60">
        <f t="shared" si="40"/>
        <v>27</v>
      </c>
      <c r="D331" s="61">
        <f t="shared" si="34"/>
        <v>4639549.6320058359</v>
      </c>
      <c r="E331" s="62">
        <f t="shared" si="35"/>
        <v>114225.95765300129</v>
      </c>
      <c r="F331" s="103">
        <f t="shared" si="36"/>
        <v>16741.041588821055</v>
      </c>
      <c r="G331" s="103">
        <f t="shared" si="39"/>
        <v>97484.91606418023</v>
      </c>
      <c r="H331" s="10">
        <f t="shared" si="37"/>
        <v>4542064.7159416554</v>
      </c>
    </row>
    <row r="332" spans="2:8" x14ac:dyDescent="0.35">
      <c r="B332" s="9">
        <f t="shared" si="38"/>
        <v>318</v>
      </c>
      <c r="C332" s="60">
        <f t="shared" si="40"/>
        <v>27</v>
      </c>
      <c r="D332" s="61">
        <f t="shared" si="34"/>
        <v>4542064.7159416554</v>
      </c>
      <c r="E332" s="62">
        <f t="shared" si="35"/>
        <v>114225.95765300129</v>
      </c>
      <c r="F332" s="103">
        <f t="shared" si="36"/>
        <v>16389.283516689473</v>
      </c>
      <c r="G332" s="103">
        <f t="shared" si="39"/>
        <v>97836.674136311805</v>
      </c>
      <c r="H332" s="10">
        <f t="shared" si="37"/>
        <v>4444228.0418053437</v>
      </c>
    </row>
    <row r="333" spans="2:8" x14ac:dyDescent="0.35">
      <c r="B333" s="9">
        <f t="shared" si="38"/>
        <v>319</v>
      </c>
      <c r="C333" s="60">
        <f t="shared" si="40"/>
        <v>27</v>
      </c>
      <c r="D333" s="61">
        <f t="shared" si="34"/>
        <v>4444228.0418053437</v>
      </c>
      <c r="E333" s="62">
        <f t="shared" si="35"/>
        <v>114225.95765300129</v>
      </c>
      <c r="F333" s="103">
        <f t="shared" si="36"/>
        <v>16036.256184180947</v>
      </c>
      <c r="G333" s="103">
        <f t="shared" si="39"/>
        <v>98189.701468820334</v>
      </c>
      <c r="H333" s="10">
        <f t="shared" si="37"/>
        <v>4346038.340336523</v>
      </c>
    </row>
    <row r="334" spans="2:8" x14ac:dyDescent="0.35">
      <c r="B334" s="9">
        <f t="shared" si="38"/>
        <v>320</v>
      </c>
      <c r="C334" s="60">
        <f t="shared" si="40"/>
        <v>27</v>
      </c>
      <c r="D334" s="61">
        <f t="shared" si="34"/>
        <v>4346038.340336523</v>
      </c>
      <c r="E334" s="62">
        <f t="shared" si="35"/>
        <v>114225.95765300129</v>
      </c>
      <c r="F334" s="103">
        <f t="shared" si="36"/>
        <v>15681.955011380953</v>
      </c>
      <c r="G334" s="103">
        <f t="shared" si="39"/>
        <v>98544.002641620333</v>
      </c>
      <c r="H334" s="10">
        <f t="shared" si="37"/>
        <v>4247494.3376949029</v>
      </c>
    </row>
    <row r="335" spans="2:8" x14ac:dyDescent="0.35">
      <c r="B335" s="9">
        <f t="shared" si="38"/>
        <v>321</v>
      </c>
      <c r="C335" s="60">
        <f t="shared" si="40"/>
        <v>27</v>
      </c>
      <c r="D335" s="61">
        <f t="shared" si="34"/>
        <v>4247494.3376949029</v>
      </c>
      <c r="E335" s="62">
        <f t="shared" si="35"/>
        <v>114225.95765300129</v>
      </c>
      <c r="F335" s="103">
        <f t="shared" si="36"/>
        <v>15326.375401849107</v>
      </c>
      <c r="G335" s="103">
        <f t="shared" si="39"/>
        <v>98899.582251152184</v>
      </c>
      <c r="H335" s="10">
        <f t="shared" si="37"/>
        <v>4148594.7554437509</v>
      </c>
    </row>
    <row r="336" spans="2:8" x14ac:dyDescent="0.35">
      <c r="B336" s="9">
        <f t="shared" si="38"/>
        <v>322</v>
      </c>
      <c r="C336" s="60">
        <f t="shared" si="40"/>
        <v>27</v>
      </c>
      <c r="D336" s="61">
        <f t="shared" ref="D336:D374" si="41">H335</f>
        <v>4148594.7554437509</v>
      </c>
      <c r="E336" s="62">
        <f t="shared" ref="E336:E374" si="42">$D$7</f>
        <v>114225.95765300129</v>
      </c>
      <c r="F336" s="103">
        <f t="shared" ref="F336:F374" si="43">D336*($D$4/12)</f>
        <v>14969.512742559535</v>
      </c>
      <c r="G336" s="103">
        <f t="shared" si="39"/>
        <v>99256.444910441758</v>
      </c>
      <c r="H336" s="10">
        <f t="shared" ref="H336:H374" si="44">D336-G336</f>
        <v>4049338.3105333094</v>
      </c>
    </row>
    <row r="337" spans="2:8" x14ac:dyDescent="0.35">
      <c r="B337" s="9">
        <f t="shared" ref="B337:B374" si="45">B336+1</f>
        <v>323</v>
      </c>
      <c r="C337" s="60">
        <f t="shared" si="40"/>
        <v>27</v>
      </c>
      <c r="D337" s="61">
        <f t="shared" si="41"/>
        <v>4049338.3105333094</v>
      </c>
      <c r="E337" s="62">
        <f t="shared" si="42"/>
        <v>114225.95765300129</v>
      </c>
      <c r="F337" s="103">
        <f t="shared" si="43"/>
        <v>14611.362403841023</v>
      </c>
      <c r="G337" s="103">
        <f t="shared" ref="G337:G374" si="46">E337-F337</f>
        <v>99614.595249160266</v>
      </c>
      <c r="H337" s="10">
        <f t="shared" si="44"/>
        <v>3949723.7152841492</v>
      </c>
    </row>
    <row r="338" spans="2:8" x14ac:dyDescent="0.35">
      <c r="B338" s="9">
        <f t="shared" si="45"/>
        <v>324</v>
      </c>
      <c r="C338" s="60">
        <f t="shared" si="40"/>
        <v>27</v>
      </c>
      <c r="D338" s="61">
        <f t="shared" si="41"/>
        <v>3949723.7152841492</v>
      </c>
      <c r="E338" s="62">
        <f t="shared" si="42"/>
        <v>114225.95765300129</v>
      </c>
      <c r="F338" s="103">
        <f t="shared" si="43"/>
        <v>14251.919739316971</v>
      </c>
      <c r="G338" s="103">
        <f t="shared" si="46"/>
        <v>99974.037913684311</v>
      </c>
      <c r="H338" s="10">
        <f t="shared" si="44"/>
        <v>3849749.6773704649</v>
      </c>
    </row>
    <row r="339" spans="2:8" x14ac:dyDescent="0.35">
      <c r="B339" s="9">
        <f t="shared" si="45"/>
        <v>325</v>
      </c>
      <c r="C339" s="60">
        <f t="shared" si="40"/>
        <v>28</v>
      </c>
      <c r="D339" s="61">
        <f t="shared" si="41"/>
        <v>3849749.6773704649</v>
      </c>
      <c r="E339" s="62">
        <f t="shared" si="42"/>
        <v>114225.95765300129</v>
      </c>
      <c r="F339" s="103">
        <f t="shared" si="43"/>
        <v>13891.180085845093</v>
      </c>
      <c r="G339" s="103">
        <f t="shared" si="46"/>
        <v>100334.7775671562</v>
      </c>
      <c r="H339" s="10">
        <f t="shared" si="44"/>
        <v>3749414.8998033088</v>
      </c>
    </row>
    <row r="340" spans="2:8" x14ac:dyDescent="0.35">
      <c r="B340" s="9">
        <f t="shared" si="45"/>
        <v>326</v>
      </c>
      <c r="C340" s="60">
        <f t="shared" si="40"/>
        <v>28</v>
      </c>
      <c r="D340" s="61">
        <f t="shared" si="41"/>
        <v>3749414.8998033088</v>
      </c>
      <c r="E340" s="62">
        <f t="shared" si="42"/>
        <v>114225.95765300129</v>
      </c>
      <c r="F340" s="103">
        <f t="shared" si="43"/>
        <v>13529.138763456938</v>
      </c>
      <c r="G340" s="103">
        <f t="shared" si="46"/>
        <v>100696.81888954435</v>
      </c>
      <c r="H340" s="10">
        <f t="shared" si="44"/>
        <v>3648718.0809137644</v>
      </c>
    </row>
    <row r="341" spans="2:8" x14ac:dyDescent="0.35">
      <c r="B341" s="9">
        <f t="shared" si="45"/>
        <v>327</v>
      </c>
      <c r="C341" s="60">
        <f t="shared" si="40"/>
        <v>28</v>
      </c>
      <c r="D341" s="61">
        <f t="shared" si="41"/>
        <v>3648718.0809137644</v>
      </c>
      <c r="E341" s="62">
        <f t="shared" si="42"/>
        <v>114225.95765300129</v>
      </c>
      <c r="F341" s="103">
        <f t="shared" si="43"/>
        <v>13165.791075297166</v>
      </c>
      <c r="G341" s="103">
        <f t="shared" si="46"/>
        <v>101060.16657770412</v>
      </c>
      <c r="H341" s="10">
        <f t="shared" si="44"/>
        <v>3547657.9143360602</v>
      </c>
    </row>
    <row r="342" spans="2:8" x14ac:dyDescent="0.35">
      <c r="B342" s="9">
        <f t="shared" si="45"/>
        <v>328</v>
      </c>
      <c r="C342" s="60">
        <f t="shared" si="40"/>
        <v>28</v>
      </c>
      <c r="D342" s="61">
        <f t="shared" si="41"/>
        <v>3547657.9143360602</v>
      </c>
      <c r="E342" s="62">
        <f t="shared" si="42"/>
        <v>114225.95765300129</v>
      </c>
      <c r="F342" s="103">
        <f t="shared" si="43"/>
        <v>12801.132307562617</v>
      </c>
      <c r="G342" s="103">
        <f t="shared" si="46"/>
        <v>101424.82534543867</v>
      </c>
      <c r="H342" s="10">
        <f t="shared" si="44"/>
        <v>3446233.0889906213</v>
      </c>
    </row>
    <row r="343" spans="2:8" x14ac:dyDescent="0.35">
      <c r="B343" s="9">
        <f t="shared" si="45"/>
        <v>329</v>
      </c>
      <c r="C343" s="60">
        <f t="shared" si="40"/>
        <v>28</v>
      </c>
      <c r="D343" s="61">
        <f t="shared" si="41"/>
        <v>3446233.0889906213</v>
      </c>
      <c r="E343" s="62">
        <f t="shared" si="42"/>
        <v>114225.95765300129</v>
      </c>
      <c r="F343" s="103">
        <f t="shared" si="43"/>
        <v>12435.157729441158</v>
      </c>
      <c r="G343" s="103">
        <f t="shared" si="46"/>
        <v>101790.79992356013</v>
      </c>
      <c r="H343" s="10">
        <f t="shared" si="44"/>
        <v>3344442.2890670612</v>
      </c>
    </row>
    <row r="344" spans="2:8" x14ac:dyDescent="0.35">
      <c r="B344" s="9">
        <f t="shared" si="45"/>
        <v>330</v>
      </c>
      <c r="C344" s="60">
        <f t="shared" si="40"/>
        <v>28</v>
      </c>
      <c r="D344" s="61">
        <f t="shared" si="41"/>
        <v>3344442.2890670612</v>
      </c>
      <c r="E344" s="62">
        <f t="shared" si="42"/>
        <v>114225.95765300129</v>
      </c>
      <c r="F344" s="103">
        <f t="shared" si="43"/>
        <v>12067.862593050311</v>
      </c>
      <c r="G344" s="103">
        <f t="shared" si="46"/>
        <v>102158.09505995098</v>
      </c>
      <c r="H344" s="10">
        <f t="shared" si="44"/>
        <v>3242284.1940071103</v>
      </c>
    </row>
    <row r="345" spans="2:8" x14ac:dyDescent="0.35">
      <c r="B345" s="9">
        <f t="shared" si="45"/>
        <v>331</v>
      </c>
      <c r="C345" s="60">
        <f t="shared" si="40"/>
        <v>28</v>
      </c>
      <c r="D345" s="61">
        <f t="shared" si="41"/>
        <v>3242284.1940071103</v>
      </c>
      <c r="E345" s="62">
        <f t="shared" si="42"/>
        <v>114225.95765300129</v>
      </c>
      <c r="F345" s="103">
        <f t="shared" si="43"/>
        <v>11699.242133375656</v>
      </c>
      <c r="G345" s="103">
        <f t="shared" si="46"/>
        <v>102526.71551962564</v>
      </c>
      <c r="H345" s="10">
        <f t="shared" si="44"/>
        <v>3139757.4784874846</v>
      </c>
    </row>
    <row r="346" spans="2:8" x14ac:dyDescent="0.35">
      <c r="B346" s="9">
        <f t="shared" si="45"/>
        <v>332</v>
      </c>
      <c r="C346" s="60">
        <f t="shared" si="40"/>
        <v>28</v>
      </c>
      <c r="D346" s="61">
        <f t="shared" si="41"/>
        <v>3139757.4784874846</v>
      </c>
      <c r="E346" s="62">
        <f t="shared" si="42"/>
        <v>114225.95765300129</v>
      </c>
      <c r="F346" s="103">
        <f t="shared" si="43"/>
        <v>11329.291568209006</v>
      </c>
      <c r="G346" s="103">
        <f t="shared" si="46"/>
        <v>102896.66608479228</v>
      </c>
      <c r="H346" s="10">
        <f t="shared" si="44"/>
        <v>3036860.8124026922</v>
      </c>
    </row>
    <row r="347" spans="2:8" x14ac:dyDescent="0.35">
      <c r="B347" s="9">
        <f t="shared" si="45"/>
        <v>333</v>
      </c>
      <c r="C347" s="60">
        <f t="shared" si="40"/>
        <v>28</v>
      </c>
      <c r="D347" s="61">
        <f t="shared" si="41"/>
        <v>3036860.8124026922</v>
      </c>
      <c r="E347" s="62">
        <f t="shared" si="42"/>
        <v>114225.95765300129</v>
      </c>
      <c r="F347" s="103">
        <f t="shared" si="43"/>
        <v>10958.00609808638</v>
      </c>
      <c r="G347" s="103">
        <f t="shared" si="46"/>
        <v>103267.95155491491</v>
      </c>
      <c r="H347" s="10">
        <f t="shared" si="44"/>
        <v>2933592.8608477772</v>
      </c>
    </row>
    <row r="348" spans="2:8" x14ac:dyDescent="0.35">
      <c r="B348" s="9">
        <f t="shared" si="45"/>
        <v>334</v>
      </c>
      <c r="C348" s="60">
        <f t="shared" ref="C348:C374" si="47">C336+1</f>
        <v>28</v>
      </c>
      <c r="D348" s="61">
        <f t="shared" si="41"/>
        <v>2933592.8608477772</v>
      </c>
      <c r="E348" s="62">
        <f t="shared" si="42"/>
        <v>114225.95765300129</v>
      </c>
      <c r="F348" s="103">
        <f t="shared" si="43"/>
        <v>10585.38090622573</v>
      </c>
      <c r="G348" s="103">
        <f t="shared" si="46"/>
        <v>103640.57674677555</v>
      </c>
      <c r="H348" s="10">
        <f t="shared" si="44"/>
        <v>2829952.2841010015</v>
      </c>
    </row>
    <row r="349" spans="2:8" x14ac:dyDescent="0.35">
      <c r="B349" s="9">
        <f t="shared" si="45"/>
        <v>335</v>
      </c>
      <c r="C349" s="60">
        <f t="shared" si="47"/>
        <v>28</v>
      </c>
      <c r="D349" s="61">
        <f t="shared" si="41"/>
        <v>2829952.2841010015</v>
      </c>
      <c r="E349" s="62">
        <f t="shared" si="42"/>
        <v>114225.95765300129</v>
      </c>
      <c r="F349" s="103">
        <f t="shared" si="43"/>
        <v>10211.411158464447</v>
      </c>
      <c r="G349" s="103">
        <f t="shared" si="46"/>
        <v>104014.54649453684</v>
      </c>
      <c r="H349" s="10">
        <f t="shared" si="44"/>
        <v>2725937.7376064644</v>
      </c>
    </row>
    <row r="350" spans="2:8" x14ac:dyDescent="0.35">
      <c r="B350" s="9">
        <f t="shared" si="45"/>
        <v>336</v>
      </c>
      <c r="C350" s="60">
        <f t="shared" si="47"/>
        <v>28</v>
      </c>
      <c r="D350" s="61">
        <f t="shared" si="41"/>
        <v>2725937.7376064644</v>
      </c>
      <c r="E350" s="62">
        <f t="shared" si="42"/>
        <v>114225.95765300129</v>
      </c>
      <c r="F350" s="103">
        <f t="shared" si="43"/>
        <v>9836.092003196658</v>
      </c>
      <c r="G350" s="103">
        <f t="shared" si="46"/>
        <v>104389.86564980463</v>
      </c>
      <c r="H350" s="10">
        <f t="shared" si="44"/>
        <v>2621547.8719566599</v>
      </c>
    </row>
    <row r="351" spans="2:8" x14ac:dyDescent="0.35">
      <c r="B351" s="9">
        <f t="shared" si="45"/>
        <v>337</v>
      </c>
      <c r="C351" s="60">
        <f t="shared" si="47"/>
        <v>29</v>
      </c>
      <c r="D351" s="61">
        <f t="shared" si="41"/>
        <v>2621547.8719566599</v>
      </c>
      <c r="E351" s="62">
        <f t="shared" si="42"/>
        <v>114225.95765300129</v>
      </c>
      <c r="F351" s="103">
        <f t="shared" si="43"/>
        <v>9459.4185713102815</v>
      </c>
      <c r="G351" s="103">
        <f t="shared" si="46"/>
        <v>104766.53908169101</v>
      </c>
      <c r="H351" s="10">
        <f t="shared" si="44"/>
        <v>2516781.3328749691</v>
      </c>
    </row>
    <row r="352" spans="2:8" x14ac:dyDescent="0.35">
      <c r="B352" s="9">
        <f t="shared" si="45"/>
        <v>338</v>
      </c>
      <c r="C352" s="60">
        <f t="shared" si="47"/>
        <v>29</v>
      </c>
      <c r="D352" s="61">
        <f t="shared" si="41"/>
        <v>2516781.3328749691</v>
      </c>
      <c r="E352" s="62">
        <f t="shared" si="42"/>
        <v>114225.95765300129</v>
      </c>
      <c r="F352" s="103">
        <f t="shared" si="43"/>
        <v>9081.3859761238473</v>
      </c>
      <c r="G352" s="103">
        <f t="shared" si="46"/>
        <v>105144.57167687744</v>
      </c>
      <c r="H352" s="10">
        <f t="shared" si="44"/>
        <v>2411636.7611980918</v>
      </c>
    </row>
    <row r="353" spans="2:8" x14ac:dyDescent="0.35">
      <c r="B353" s="9">
        <f t="shared" si="45"/>
        <v>339</v>
      </c>
      <c r="C353" s="60">
        <f t="shared" si="47"/>
        <v>29</v>
      </c>
      <c r="D353" s="61">
        <f t="shared" si="41"/>
        <v>2411636.7611980918</v>
      </c>
      <c r="E353" s="62">
        <f t="shared" si="42"/>
        <v>114225.95765300129</v>
      </c>
      <c r="F353" s="103">
        <f t="shared" si="43"/>
        <v>8701.9893133231144</v>
      </c>
      <c r="G353" s="103">
        <f t="shared" si="46"/>
        <v>105523.96833967818</v>
      </c>
      <c r="H353" s="10">
        <f t="shared" si="44"/>
        <v>2306112.7928584134</v>
      </c>
    </row>
    <row r="354" spans="2:8" x14ac:dyDescent="0.35">
      <c r="B354" s="9">
        <f t="shared" si="45"/>
        <v>340</v>
      </c>
      <c r="C354" s="60">
        <f t="shared" si="47"/>
        <v>29</v>
      </c>
      <c r="D354" s="61">
        <f t="shared" si="41"/>
        <v>2306112.7928584134</v>
      </c>
      <c r="E354" s="62">
        <f t="shared" si="42"/>
        <v>114225.95765300129</v>
      </c>
      <c r="F354" s="103">
        <f t="shared" si="43"/>
        <v>8321.2236608974417</v>
      </c>
      <c r="G354" s="103">
        <f t="shared" si="46"/>
        <v>105904.73399210384</v>
      </c>
      <c r="H354" s="10">
        <f t="shared" si="44"/>
        <v>2200208.0588663095</v>
      </c>
    </row>
    <row r="355" spans="2:8" x14ac:dyDescent="0.35">
      <c r="B355" s="9">
        <f t="shared" si="45"/>
        <v>341</v>
      </c>
      <c r="C355" s="60">
        <f t="shared" si="47"/>
        <v>29</v>
      </c>
      <c r="D355" s="61">
        <f t="shared" si="41"/>
        <v>2200208.0588663095</v>
      </c>
      <c r="E355" s="62">
        <f t="shared" si="42"/>
        <v>114225.95765300129</v>
      </c>
      <c r="F355" s="103">
        <f t="shared" si="43"/>
        <v>7939.084079075933</v>
      </c>
      <c r="G355" s="103">
        <f t="shared" si="46"/>
        <v>106286.87357392535</v>
      </c>
      <c r="H355" s="10">
        <f t="shared" si="44"/>
        <v>2093921.1852923841</v>
      </c>
    </row>
    <row r="356" spans="2:8" x14ac:dyDescent="0.35">
      <c r="B356" s="9">
        <f t="shared" si="45"/>
        <v>342</v>
      </c>
      <c r="C356" s="60">
        <f t="shared" si="47"/>
        <v>29</v>
      </c>
      <c r="D356" s="61">
        <f t="shared" si="41"/>
        <v>2093921.1852923841</v>
      </c>
      <c r="E356" s="62">
        <f t="shared" si="42"/>
        <v>114225.95765300129</v>
      </c>
      <c r="F356" s="103">
        <f t="shared" si="43"/>
        <v>7555.565610263352</v>
      </c>
      <c r="G356" s="103">
        <f t="shared" si="46"/>
        <v>106670.39204273793</v>
      </c>
      <c r="H356" s="10">
        <f t="shared" si="44"/>
        <v>1987250.7932496462</v>
      </c>
    </row>
    <row r="357" spans="2:8" x14ac:dyDescent="0.35">
      <c r="B357" s="9">
        <f t="shared" si="45"/>
        <v>343</v>
      </c>
      <c r="C357" s="60">
        <f t="shared" si="47"/>
        <v>29</v>
      </c>
      <c r="D357" s="61">
        <f t="shared" si="41"/>
        <v>1987250.7932496462</v>
      </c>
      <c r="E357" s="62">
        <f t="shared" si="42"/>
        <v>114225.95765300129</v>
      </c>
      <c r="F357" s="103">
        <f t="shared" si="43"/>
        <v>7170.6632789758069</v>
      </c>
      <c r="G357" s="103">
        <f t="shared" si="46"/>
        <v>107055.29437402549</v>
      </c>
      <c r="H357" s="10">
        <f t="shared" si="44"/>
        <v>1880195.4988756208</v>
      </c>
    </row>
    <row r="358" spans="2:8" x14ac:dyDescent="0.35">
      <c r="B358" s="9">
        <f t="shared" si="45"/>
        <v>344</v>
      </c>
      <c r="C358" s="60">
        <f t="shared" si="47"/>
        <v>29</v>
      </c>
      <c r="D358" s="61">
        <f t="shared" si="41"/>
        <v>1880195.4988756208</v>
      </c>
      <c r="E358" s="62">
        <f t="shared" si="42"/>
        <v>114225.95765300129</v>
      </c>
      <c r="F358" s="103">
        <f t="shared" si="43"/>
        <v>6784.3720917761984</v>
      </c>
      <c r="G358" s="103">
        <f t="shared" si="46"/>
        <v>107441.58556122509</v>
      </c>
      <c r="H358" s="10">
        <f t="shared" si="44"/>
        <v>1772753.9133143956</v>
      </c>
    </row>
    <row r="359" spans="2:8" x14ac:dyDescent="0.35">
      <c r="B359" s="9">
        <f t="shared" si="45"/>
        <v>345</v>
      </c>
      <c r="C359" s="60">
        <f t="shared" si="47"/>
        <v>29</v>
      </c>
      <c r="D359" s="61">
        <f t="shared" si="41"/>
        <v>1772753.9133143956</v>
      </c>
      <c r="E359" s="62">
        <f t="shared" si="42"/>
        <v>114225.95765300129</v>
      </c>
      <c r="F359" s="103">
        <f t="shared" si="43"/>
        <v>6396.6870372094436</v>
      </c>
      <c r="G359" s="103">
        <f t="shared" si="46"/>
        <v>107829.27061579184</v>
      </c>
      <c r="H359" s="10">
        <f t="shared" si="44"/>
        <v>1664924.6426986037</v>
      </c>
    </row>
    <row r="360" spans="2:8" x14ac:dyDescent="0.35">
      <c r="B360" s="9">
        <f t="shared" si="45"/>
        <v>346</v>
      </c>
      <c r="C360" s="60">
        <f t="shared" si="47"/>
        <v>29</v>
      </c>
      <c r="D360" s="61">
        <f t="shared" si="41"/>
        <v>1664924.6426986037</v>
      </c>
      <c r="E360" s="62">
        <f t="shared" si="42"/>
        <v>114225.95765300129</v>
      </c>
      <c r="F360" s="103">
        <f t="shared" si="43"/>
        <v>6007.6030857374617</v>
      </c>
      <c r="G360" s="103">
        <f t="shared" si="46"/>
        <v>108218.35456726383</v>
      </c>
      <c r="H360" s="10">
        <f t="shared" si="44"/>
        <v>1556706.2881313399</v>
      </c>
    </row>
    <row r="361" spans="2:8" x14ac:dyDescent="0.35">
      <c r="B361" s="9">
        <f t="shared" si="45"/>
        <v>347</v>
      </c>
      <c r="C361" s="60">
        <f t="shared" si="47"/>
        <v>29</v>
      </c>
      <c r="D361" s="61">
        <f t="shared" si="41"/>
        <v>1556706.2881313399</v>
      </c>
      <c r="E361" s="62">
        <f t="shared" si="42"/>
        <v>114225.95765300129</v>
      </c>
      <c r="F361" s="103">
        <f t="shared" si="43"/>
        <v>5617.1151896739184</v>
      </c>
      <c r="G361" s="103">
        <f t="shared" si="46"/>
        <v>108608.84246332737</v>
      </c>
      <c r="H361" s="10">
        <f t="shared" si="44"/>
        <v>1448097.4456680126</v>
      </c>
    </row>
    <row r="362" spans="2:8" x14ac:dyDescent="0.35">
      <c r="B362" s="9">
        <f t="shared" si="45"/>
        <v>348</v>
      </c>
      <c r="C362" s="60">
        <f t="shared" si="47"/>
        <v>29</v>
      </c>
      <c r="D362" s="61">
        <f t="shared" si="41"/>
        <v>1448097.4456680126</v>
      </c>
      <c r="E362" s="62">
        <f t="shared" si="42"/>
        <v>114225.95765300129</v>
      </c>
      <c r="F362" s="103">
        <f t="shared" si="43"/>
        <v>5225.2182831187456</v>
      </c>
      <c r="G362" s="103">
        <f t="shared" si="46"/>
        <v>109000.73936988253</v>
      </c>
      <c r="H362" s="10">
        <f t="shared" si="44"/>
        <v>1339096.7062981301</v>
      </c>
    </row>
    <row r="363" spans="2:8" x14ac:dyDescent="0.35">
      <c r="B363" s="9">
        <f t="shared" si="45"/>
        <v>349</v>
      </c>
      <c r="C363" s="60">
        <f t="shared" si="47"/>
        <v>30</v>
      </c>
      <c r="D363" s="61">
        <f t="shared" si="41"/>
        <v>1339096.7062981301</v>
      </c>
      <c r="E363" s="62">
        <f t="shared" si="42"/>
        <v>114225.95765300129</v>
      </c>
      <c r="F363" s="103">
        <f t="shared" si="43"/>
        <v>4831.9072818924196</v>
      </c>
      <c r="G363" s="103">
        <f t="shared" si="46"/>
        <v>109394.05037110887</v>
      </c>
      <c r="H363" s="10">
        <f t="shared" si="44"/>
        <v>1229702.6559270213</v>
      </c>
    </row>
    <row r="364" spans="2:8" x14ac:dyDescent="0.35">
      <c r="B364" s="9">
        <f t="shared" si="45"/>
        <v>350</v>
      </c>
      <c r="C364" s="60">
        <f t="shared" si="47"/>
        <v>30</v>
      </c>
      <c r="D364" s="61">
        <f t="shared" si="41"/>
        <v>1229702.6559270213</v>
      </c>
      <c r="E364" s="62">
        <f t="shared" si="42"/>
        <v>114225.95765300129</v>
      </c>
      <c r="F364" s="103">
        <f t="shared" si="43"/>
        <v>4437.1770834700019</v>
      </c>
      <c r="G364" s="103">
        <f t="shared" si="46"/>
        <v>109788.78056953129</v>
      </c>
      <c r="H364" s="10">
        <f t="shared" si="44"/>
        <v>1119913.87535749</v>
      </c>
    </row>
    <row r="365" spans="2:8" x14ac:dyDescent="0.35">
      <c r="B365" s="9">
        <f t="shared" si="45"/>
        <v>351</v>
      </c>
      <c r="C365" s="60">
        <f t="shared" si="47"/>
        <v>30</v>
      </c>
      <c r="D365" s="61">
        <f t="shared" si="41"/>
        <v>1119913.87535749</v>
      </c>
      <c r="E365" s="62">
        <f t="shared" si="42"/>
        <v>114225.95765300129</v>
      </c>
      <c r="F365" s="103">
        <f t="shared" si="43"/>
        <v>4041.0225669149431</v>
      </c>
      <c r="G365" s="103">
        <f t="shared" si="46"/>
        <v>110184.93508608635</v>
      </c>
      <c r="H365" s="10">
        <f t="shared" si="44"/>
        <v>1009728.9402714036</v>
      </c>
    </row>
    <row r="366" spans="2:8" x14ac:dyDescent="0.35">
      <c r="B366" s="9">
        <f t="shared" si="45"/>
        <v>352</v>
      </c>
      <c r="C366" s="60">
        <f t="shared" si="47"/>
        <v>30</v>
      </c>
      <c r="D366" s="61">
        <f t="shared" si="41"/>
        <v>1009728.9402714036</v>
      </c>
      <c r="E366" s="62">
        <f t="shared" si="42"/>
        <v>114225.95765300129</v>
      </c>
      <c r="F366" s="103">
        <f t="shared" si="43"/>
        <v>3643.438592812648</v>
      </c>
      <c r="G366" s="103">
        <f t="shared" si="46"/>
        <v>110582.51906018864</v>
      </c>
      <c r="H366" s="10">
        <f t="shared" si="44"/>
        <v>899146.42121121497</v>
      </c>
    </row>
    <row r="367" spans="2:8" x14ac:dyDescent="0.35">
      <c r="B367" s="9">
        <f t="shared" si="45"/>
        <v>353</v>
      </c>
      <c r="C367" s="60">
        <f t="shared" si="47"/>
        <v>30</v>
      </c>
      <c r="D367" s="61">
        <f t="shared" si="41"/>
        <v>899146.42121121497</v>
      </c>
      <c r="E367" s="62">
        <f t="shared" si="42"/>
        <v>114225.95765300129</v>
      </c>
      <c r="F367" s="103">
        <f t="shared" si="43"/>
        <v>3244.4200032038007</v>
      </c>
      <c r="G367" s="103">
        <f t="shared" si="46"/>
        <v>110981.53764979748</v>
      </c>
      <c r="H367" s="10">
        <f t="shared" si="44"/>
        <v>788164.88356141746</v>
      </c>
    </row>
    <row r="368" spans="2:8" x14ac:dyDescent="0.35">
      <c r="B368" s="9">
        <f t="shared" si="45"/>
        <v>354</v>
      </c>
      <c r="C368" s="60">
        <f t="shared" si="47"/>
        <v>30</v>
      </c>
      <c r="D368" s="61">
        <f t="shared" si="41"/>
        <v>788164.88356141746</v>
      </c>
      <c r="E368" s="62">
        <f t="shared" si="42"/>
        <v>114225.95765300129</v>
      </c>
      <c r="F368" s="103">
        <f t="shared" si="43"/>
        <v>2843.9616215174478</v>
      </c>
      <c r="G368" s="103">
        <f t="shared" si="46"/>
        <v>111381.99603148384</v>
      </c>
      <c r="H368" s="10">
        <f t="shared" si="44"/>
        <v>676782.88752993359</v>
      </c>
    </row>
    <row r="369" spans="2:8" x14ac:dyDescent="0.35">
      <c r="B369" s="9">
        <f t="shared" si="45"/>
        <v>355</v>
      </c>
      <c r="C369" s="60">
        <f t="shared" si="47"/>
        <v>30</v>
      </c>
      <c r="D369" s="61">
        <f t="shared" si="41"/>
        <v>676782.88752993359</v>
      </c>
      <c r="E369" s="62">
        <f t="shared" si="42"/>
        <v>114225.95765300129</v>
      </c>
      <c r="F369" s="103">
        <f t="shared" si="43"/>
        <v>2442.0582525038435</v>
      </c>
      <c r="G369" s="103">
        <f t="shared" si="46"/>
        <v>111783.89940049744</v>
      </c>
      <c r="H369" s="10">
        <f t="shared" si="44"/>
        <v>564998.98812943615</v>
      </c>
    </row>
    <row r="370" spans="2:8" x14ac:dyDescent="0.35">
      <c r="B370" s="9">
        <f t="shared" si="45"/>
        <v>356</v>
      </c>
      <c r="C370" s="60">
        <f t="shared" si="47"/>
        <v>30</v>
      </c>
      <c r="D370" s="61">
        <f t="shared" si="41"/>
        <v>564998.98812943615</v>
      </c>
      <c r="E370" s="62">
        <f t="shared" si="42"/>
        <v>114225.95765300129</v>
      </c>
      <c r="F370" s="103">
        <f t="shared" si="43"/>
        <v>2038.7046821670488</v>
      </c>
      <c r="G370" s="103">
        <f t="shared" si="46"/>
        <v>112187.25297083423</v>
      </c>
      <c r="H370" s="10">
        <f t="shared" si="44"/>
        <v>452811.73515860189</v>
      </c>
    </row>
    <row r="371" spans="2:8" x14ac:dyDescent="0.35">
      <c r="B371" s="9">
        <f t="shared" si="45"/>
        <v>357</v>
      </c>
      <c r="C371" s="60">
        <f t="shared" si="47"/>
        <v>30</v>
      </c>
      <c r="D371" s="61">
        <f t="shared" si="41"/>
        <v>452811.73515860189</v>
      </c>
      <c r="E371" s="62">
        <f t="shared" si="42"/>
        <v>114225.95765300129</v>
      </c>
      <c r="F371" s="103">
        <f t="shared" si="43"/>
        <v>1633.8956776972884</v>
      </c>
      <c r="G371" s="103">
        <f t="shared" si="46"/>
        <v>112592.06197530399</v>
      </c>
      <c r="H371" s="10">
        <f t="shared" si="44"/>
        <v>340219.67318329791</v>
      </c>
    </row>
    <row r="372" spans="2:8" x14ac:dyDescent="0.35">
      <c r="B372" s="9">
        <f t="shared" si="45"/>
        <v>358</v>
      </c>
      <c r="C372" s="60">
        <f t="shared" si="47"/>
        <v>30</v>
      </c>
      <c r="D372" s="61">
        <f t="shared" si="41"/>
        <v>340219.67318329791</v>
      </c>
      <c r="E372" s="62">
        <f t="shared" si="42"/>
        <v>114225.95765300129</v>
      </c>
      <c r="F372" s="103">
        <f t="shared" si="43"/>
        <v>1227.6259874030666</v>
      </c>
      <c r="G372" s="103">
        <f t="shared" si="46"/>
        <v>112998.33166559822</v>
      </c>
      <c r="H372" s="10">
        <f t="shared" si="44"/>
        <v>227221.34151769971</v>
      </c>
    </row>
    <row r="373" spans="2:8" x14ac:dyDescent="0.35">
      <c r="B373" s="9">
        <f t="shared" si="45"/>
        <v>359</v>
      </c>
      <c r="C373" s="60">
        <f t="shared" si="47"/>
        <v>30</v>
      </c>
      <c r="D373" s="61">
        <f t="shared" si="41"/>
        <v>227221.34151769971</v>
      </c>
      <c r="E373" s="62">
        <f t="shared" si="42"/>
        <v>114225.95765300129</v>
      </c>
      <c r="F373" s="103">
        <f t="shared" si="43"/>
        <v>819.89034064303303</v>
      </c>
      <c r="G373" s="103">
        <f t="shared" si="46"/>
        <v>113406.06731235825</v>
      </c>
      <c r="H373" s="10">
        <f t="shared" si="44"/>
        <v>113815.27420534145</v>
      </c>
    </row>
    <row r="374" spans="2:8" x14ac:dyDescent="0.35">
      <c r="B374" s="11">
        <f t="shared" si="45"/>
        <v>360</v>
      </c>
      <c r="C374" s="56">
        <f t="shared" si="47"/>
        <v>30</v>
      </c>
      <c r="D374" s="12">
        <f t="shared" si="41"/>
        <v>113815.27420534145</v>
      </c>
      <c r="E374" s="13">
        <f t="shared" si="42"/>
        <v>114225.95765300129</v>
      </c>
      <c r="F374" s="103">
        <f t="shared" si="43"/>
        <v>410.68344775760704</v>
      </c>
      <c r="G374" s="103">
        <f t="shared" si="46"/>
        <v>113815.27420524368</v>
      </c>
      <c r="H374" s="14">
        <f t="shared" si="44"/>
        <v>9.7774318419396877E-8</v>
      </c>
    </row>
    <row r="375" spans="2:8" x14ac:dyDescent="0.35">
      <c r="F375" s="103"/>
    </row>
    <row r="376" spans="2:8" x14ac:dyDescent="0.35">
      <c r="F376" s="103"/>
    </row>
  </sheetData>
  <mergeCells count="1">
    <mergeCell ref="F12:G12"/>
  </mergeCells>
  <conditionalFormatting sqref="B15:H15 B16:E374 F16:F376 G16:H374">
    <cfRule type="expression" dxfId="1" priority="3">
      <formula>MOD(ROW(),2)=1</formula>
    </cfRule>
  </conditionalFormatting>
  <conditionalFormatting sqref="J15:N44">
    <cfRule type="expression" dxfId="0" priority="1">
      <formula>MOD(ROW(),2)=1</formula>
    </cfRule>
  </conditionalFormatting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 Forma_BLANK</vt:lpstr>
      <vt:lpstr>Loan Amortization_BLANK</vt:lpstr>
      <vt:lpstr>'Pro Forma_BLANK'!Print_Area</vt:lpstr>
      <vt:lpstr>'Pro Forma_BLANK'!Print_Titles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Byrd</dc:creator>
  <cp:lastModifiedBy>will holt</cp:lastModifiedBy>
  <cp:lastPrinted>2019-10-02T04:12:00Z</cp:lastPrinted>
  <dcterms:created xsi:type="dcterms:W3CDTF">2019-09-15T17:14:43Z</dcterms:created>
  <dcterms:modified xsi:type="dcterms:W3CDTF">2025-02-11T18:18:32Z</dcterms:modified>
</cp:coreProperties>
</file>