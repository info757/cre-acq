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7ba865b1505c0b/Desktop/Linville Partners/"/>
    </mc:Choice>
  </mc:AlternateContent>
  <xr:revisionPtr revIDLastSave="2" documentId="8_{ECAB96F7-0F04-4D1D-9A59-DB6A2E056112}" xr6:coauthVersionLast="47" xr6:coauthVersionMax="47" xr10:uidLastSave="{4E749CF7-883C-4C4D-BBA7-0C0953EB0BA6}"/>
  <bookViews>
    <workbookView xWindow="-26145" yWindow="5040" windowWidth="19755" windowHeight="12630" xr2:uid="{B97EF30A-92A4-4DF5-B0A3-94FEE6BB4650}"/>
  </bookViews>
  <sheets>
    <sheet name="Clean" sheetId="3" r:id="rId1"/>
    <sheet name="Answers" sheetId="2" r:id="rId2"/>
  </sheets>
  <calcPr calcId="191029" iterate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2" i="3" l="1"/>
  <c r="L32" i="3"/>
  <c r="K32" i="3"/>
  <c r="J32" i="3"/>
  <c r="I32" i="3"/>
  <c r="H32" i="3"/>
  <c r="G32" i="3"/>
  <c r="F32" i="3"/>
  <c r="E32" i="3"/>
  <c r="D32" i="3"/>
  <c r="I34" i="3" l="1"/>
  <c r="J34" i="3"/>
  <c r="K34" i="3"/>
  <c r="L34" i="3"/>
  <c r="J15" i="3"/>
  <c r="J16" i="3" s="1"/>
  <c r="K15" i="3"/>
  <c r="K16" i="3" s="1"/>
  <c r="L15" i="3"/>
  <c r="L16" i="3" s="1"/>
  <c r="I15" i="3"/>
  <c r="I16" i="3" s="1"/>
  <c r="G34" i="3" l="1"/>
  <c r="F34" i="3"/>
  <c r="E34" i="3"/>
  <c r="D34" i="3"/>
  <c r="C26" i="3"/>
  <c r="C27" i="3" s="1"/>
  <c r="G15" i="3"/>
  <c r="G16" i="3" s="1"/>
  <c r="F15" i="3"/>
  <c r="F16" i="3" s="1"/>
  <c r="E15" i="3"/>
  <c r="E16" i="3" s="1"/>
  <c r="D15" i="3"/>
  <c r="D16" i="3" s="1"/>
  <c r="C15" i="3"/>
  <c r="C16" i="3" s="1"/>
  <c r="C7" i="3"/>
  <c r="C8" i="3" s="1"/>
  <c r="C28" i="3" l="1"/>
  <c r="H34" i="3" l="1"/>
  <c r="M33" i="3"/>
  <c r="M34" i="3" s="1"/>
  <c r="C9" i="3"/>
  <c r="M14" i="3" s="1"/>
  <c r="H15" i="3" l="1"/>
  <c r="H16" i="3" s="1"/>
  <c r="M15" i="3"/>
  <c r="M16" i="3" l="1"/>
  <c r="C19" i="3" s="1"/>
  <c r="C31" i="3" s="1"/>
  <c r="C34" i="3" s="1"/>
  <c r="C36" i="3" s="1"/>
  <c r="C18" i="3"/>
</calcChain>
</file>

<file path=xl/sharedStrings.xml><?xml version="1.0" encoding="utf-8"?>
<sst xmlns="http://schemas.openxmlformats.org/spreadsheetml/2006/main" count="24" uniqueCount="16">
  <si>
    <t>NCF</t>
  </si>
  <si>
    <t>Base Cap Rate</t>
  </si>
  <si>
    <t>Base Exit Value</t>
  </si>
  <si>
    <t>Sale Expenses</t>
  </si>
  <si>
    <t>Net Reversion Proceeds</t>
  </si>
  <si>
    <t>Reversion</t>
  </si>
  <si>
    <t>Total Cash Flow</t>
  </si>
  <si>
    <t>Purchase Price</t>
  </si>
  <si>
    <t>Unlevered IRR</t>
  </si>
  <si>
    <t>Discount Rate</t>
  </si>
  <si>
    <t>PV of Cash Flow</t>
  </si>
  <si>
    <t>Sum of Cash Flows</t>
  </si>
  <si>
    <t>Present Value of Cash Flows</t>
  </si>
  <si>
    <t>NOI to Cap</t>
  </si>
  <si>
    <t>To Solve for Present Value/Purchase Price</t>
  </si>
  <si>
    <t>To Solve for UIRR Given Purchase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</si>
</sst>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&quot;Year &quot;#0"/>
    <numFmt numFmtId="167" formatCode="_(* #,##0.0000_);_(* \(#,##0.00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Helvetica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1" applyNumberFormat="1" applyFont="1"/>
    <xf numFmtId="164" fontId="0" fillId="2" borderId="0" xfId="1" applyNumberFormat="1" applyFont="1" applyFill="1"/>
    <xf numFmtId="164" fontId="0" fillId="2" borderId="1" xfId="1" applyNumberFormat="1" applyFont="1" applyFill="1" applyBorder="1"/>
    <xf numFmtId="0" fontId="0" fillId="2" borderId="0" xfId="0" applyFill="1"/>
    <xf numFmtId="164" fontId="4" fillId="2" borderId="0" xfId="1" applyNumberFormat="1" applyFont="1" applyFill="1"/>
    <xf numFmtId="0" fontId="2" fillId="2" borderId="0" xfId="0" applyFont="1" applyFill="1"/>
    <xf numFmtId="166" fontId="5" fillId="2" borderId="0" xfId="0" applyNumberFormat="1" applyFont="1" applyFill="1" applyAlignment="1">
      <alignment horizontal="center"/>
    </xf>
    <xf numFmtId="164" fontId="3" fillId="2" borderId="0" xfId="1" applyNumberFormat="1" applyFont="1" applyFill="1"/>
    <xf numFmtId="164" fontId="2" fillId="2" borderId="1" xfId="1" applyNumberFormat="1" applyFont="1" applyFill="1" applyBorder="1"/>
    <xf numFmtId="165" fontId="0" fillId="0" borderId="0" xfId="2" applyNumberFormat="1" applyFont="1"/>
    <xf numFmtId="0" fontId="2" fillId="3" borderId="2" xfId="0" applyFont="1" applyFill="1" applyBorder="1"/>
    <xf numFmtId="10" fontId="2" fillId="3" borderId="3" xfId="0" applyNumberFormat="1" applyFont="1" applyFill="1" applyBorder="1"/>
    <xf numFmtId="164" fontId="2" fillId="2" borderId="0" xfId="1" applyNumberFormat="1" applyFont="1" applyFill="1" applyBorder="1"/>
    <xf numFmtId="0" fontId="0" fillId="2" borderId="6" xfId="0" applyFill="1" applyBorder="1"/>
    <xf numFmtId="0" fontId="0" fillId="2" borderId="8" xfId="0" applyFill="1" applyBorder="1"/>
    <xf numFmtId="164" fontId="1" fillId="2" borderId="5" xfId="1" applyNumberFormat="1" applyFont="1" applyFill="1" applyBorder="1"/>
    <xf numFmtId="164" fontId="2" fillId="2" borderId="0" xfId="0" applyNumberFormat="1" applyFont="1" applyFill="1"/>
    <xf numFmtId="164" fontId="0" fillId="0" borderId="0" xfId="1" applyNumberFormat="1" applyFont="1" applyFill="1" applyBorder="1"/>
    <xf numFmtId="164" fontId="2" fillId="0" borderId="0" xfId="1" applyNumberFormat="1" applyFont="1" applyFill="1" applyBorder="1"/>
    <xf numFmtId="8" fontId="0" fillId="2" borderId="0" xfId="0" applyNumberFormat="1" applyFill="1"/>
    <xf numFmtId="0" fontId="6" fillId="4" borderId="2" xfId="0" applyFont="1" applyFill="1" applyBorder="1" applyAlignment="1">
      <alignment horizontal="centerContinuous"/>
    </xf>
    <xf numFmtId="0" fontId="6" fillId="4" borderId="10" xfId="0" applyFont="1" applyFill="1" applyBorder="1" applyAlignment="1">
      <alignment horizontal="centerContinuous"/>
    </xf>
    <xf numFmtId="0" fontId="6" fillId="4" borderId="3" xfId="0" applyFont="1" applyFill="1" applyBorder="1" applyAlignment="1">
      <alignment horizontal="centerContinuous"/>
    </xf>
    <xf numFmtId="0" fontId="6" fillId="2" borderId="0" xfId="0" applyFont="1" applyFill="1" applyAlignment="1">
      <alignment horizontal="centerContinuous"/>
    </xf>
    <xf numFmtId="164" fontId="0" fillId="2" borderId="0" xfId="1" applyNumberFormat="1" applyFont="1" applyFill="1" applyBorder="1"/>
    <xf numFmtId="10" fontId="2" fillId="2" borderId="0" xfId="0" applyNumberFormat="1" applyFont="1" applyFill="1"/>
    <xf numFmtId="164" fontId="1" fillId="2" borderId="0" xfId="1" applyNumberFormat="1" applyFont="1" applyFill="1" applyBorder="1"/>
    <xf numFmtId="164" fontId="0" fillId="3" borderId="4" xfId="0" applyNumberFormat="1" applyFill="1" applyBorder="1"/>
    <xf numFmtId="0" fontId="0" fillId="3" borderId="7" xfId="0" applyFill="1" applyBorder="1"/>
    <xf numFmtId="167" fontId="0" fillId="0" borderId="0" xfId="1" applyNumberFormat="1" applyFont="1"/>
    <xf numFmtId="3" fontId="7" fillId="0" borderId="0" xfId="0" applyNumberFormat="1" applyFont="1"/>
    <xf numFmtId="164" fontId="4" fillId="5" borderId="0" xfId="1" applyNumberFormat="1" applyFont="1" applyFill="1"/>
    <xf numFmtId="10" fontId="3" fillId="5" borderId="0" xfId="2" applyNumberFormat="1" applyFont="1" applyFill="1" applyBorder="1"/>
    <xf numFmtId="0" fontId="7" fillId="0" borderId="0" xfId="0" applyFont="1"/>
    <xf numFmtId="164" fontId="3" fillId="5" borderId="0" xfId="1" applyNumberFormat="1" applyFont="1" applyFill="1"/>
    <xf numFmtId="10" fontId="3" fillId="5" borderId="9" xfId="2" applyNumberFormat="1" applyFont="1" applyFill="1" applyBorder="1"/>
    <xf numFmtId="10" fontId="3" fillId="6" borderId="9" xfId="2" applyNumberFormat="1" applyFont="1" applyFill="1" applyBorder="1"/>
    <xf numFmtId="10" fontId="0" fillId="0" borderId="0" xfId="0" applyNumberFormat="1"/>
    <xf numFmtId="164" fontId="8" fillId="7" borderId="11" xfId="1" applyNumberFormat="1" applyFont="1" applyFill="1" applyBorder="1" applyAlignment="1">
      <alignment vertical="center" wrapText="1"/>
    </xf>
  </cellXfs>
  <cellStyles count="6">
    <cellStyle name="Comma" xfId="1" builtinId="3"/>
    <cellStyle name="Comma 2" xfId="5" xr:uid="{403DAA4C-D02F-4846-A1BB-F5EF6FFBB079}"/>
    <cellStyle name="Currency 2" xfId="4" xr:uid="{ED5AB397-DBB6-4F05-9AA6-A93EF7957D07}"/>
    <cellStyle name="Normal" xfId="0" builtinId="0"/>
    <cellStyle name="Normal 10" xfId="3" xr:uid="{D757EA21-2896-4CE2-B95D-E1657F60D673}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568036</xdr:colOff>
      <xdr:row>22</xdr:row>
      <xdr:rowOff>6928</xdr:rowOff>
    </xdr:from>
    <xdr:to>
      <xdr:col>8</xdr:col>
      <xdr:colOff>9813</xdr:colOff>
      <xdr:row>29</xdr:row>
      <xdr:rowOff>9009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FA491-9800-9642-94CA-1CF95640E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0877" y="4223905"/>
          <a:ext cx="2665268" cy="1335581"/>
        </a:xfrm>
        <a:prstGeom prst="rect">
          <a:avLst/>
        </a:prstGeom>
      </xdr:spPr>
    </xdr:pic>
    <xdr:clientData/>
  </xdr:twoCellAnchor>
  <xdr:twoCellAnchor editAs="oneCell">
    <xdr:from>
      <xdr:col>4</xdr:col>
      <xdr:colOff>532297</xdr:colOff>
      <xdr:row>3</xdr:row>
      <xdr:rowOff>38100</xdr:rowOff>
    </xdr:from>
    <xdr:to>
      <xdr:col>7</xdr:col>
      <xdr:colOff>534798</xdr:colOff>
      <xdr:row>9</xdr:row>
      <xdr:rowOff>103760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2AD671-582E-524B-A198-E2396991D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3397" y="609600"/>
          <a:ext cx="2745701" cy="1208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34</xdr:row>
      <xdr:rowOff>171450</xdr:rowOff>
    </xdr:from>
    <xdr:to>
      <xdr:col>7</xdr:col>
      <xdr:colOff>800100</xdr:colOff>
      <xdr:row>41</xdr:row>
      <xdr:rowOff>173531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67232-0CCE-46DD-B662-6E85F8D84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625" y="5562600"/>
          <a:ext cx="2676525" cy="1335581"/>
        </a:xfrm>
        <a:prstGeom prst="rect">
          <a:avLst/>
        </a:prstGeom>
      </xdr:spPr>
    </xdr:pic>
    <xdr:clientData/>
  </xdr:twoCellAnchor>
  <xdr:twoCellAnchor editAs="oneCell">
    <xdr:from>
      <xdr:col>4</xdr:col>
      <xdr:colOff>532297</xdr:colOff>
      <xdr:row>3</xdr:row>
      <xdr:rowOff>38100</xdr:rowOff>
    </xdr:from>
    <xdr:to>
      <xdr:col>7</xdr:col>
      <xdr:colOff>534798</xdr:colOff>
      <xdr:row>9</xdr:row>
      <xdr:rowOff>103760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9FDA79-5801-443B-86DF-A1991605B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9522" y="609600"/>
          <a:ext cx="2412326" cy="12086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40E5-31A2-F94A-951B-97A7028B6F07}">
  <dimension ref="B3:N51"/>
  <sheetViews>
    <sheetView tabSelected="1" topLeftCell="A34" zoomScale="110" zoomScaleNormal="110" workbookViewId="0">
      <selection activeCell="B46" sqref="B46"/>
    </sheetView>
  </sheetViews>
  <sheetFormatPr defaultColWidth="9.1796875" defaultRowHeight="14.5" x14ac:dyDescent="0.35"/>
  <cols>
    <col min="2" max="2" width="26.7265625" customWidth="1"/>
    <col min="3" max="3" width="16.7265625" customWidth="1"/>
    <col min="4" max="4" width="13" customWidth="1"/>
    <col min="5" max="5" width="11" customWidth="1"/>
    <col min="6" max="11" width="12.453125" customWidth="1"/>
    <col min="12" max="12" width="11.453125" customWidth="1"/>
    <col min="13" max="13" width="13.36328125" customWidth="1"/>
    <col min="14" max="14" width="3.26953125" customWidth="1"/>
    <col min="15" max="15" width="18.1796875" customWidth="1"/>
  </cols>
  <sheetData>
    <row r="3" spans="2:14" x14ac:dyDescent="0.35">
      <c r="B3" s="21" t="s">
        <v>14</v>
      </c>
      <c r="C3" s="22"/>
      <c r="D3" s="22"/>
      <c r="E3" s="22"/>
      <c r="F3" s="22"/>
      <c r="G3" s="22"/>
      <c r="H3" s="22"/>
      <c r="I3" s="23"/>
    </row>
    <row r="4" spans="2:14" x14ac:dyDescent="0.35">
      <c r="B4" s="24"/>
      <c r="C4" s="24"/>
      <c r="D4" s="24"/>
      <c r="E4" s="24"/>
      <c r="F4" s="24"/>
      <c r="G4" s="24"/>
      <c r="H4" s="24"/>
      <c r="I4" s="24"/>
    </row>
    <row r="5" spans="2:14" x14ac:dyDescent="0.35">
      <c r="B5" s="4" t="s">
        <v>13</v>
      </c>
      <c r="C5" s="32">
        <v>2664733</v>
      </c>
      <c r="D5" s="4"/>
      <c r="E5" s="4"/>
      <c r="F5" s="25"/>
      <c r="G5" s="25"/>
      <c r="H5" s="25"/>
      <c r="I5" s="25"/>
      <c r="J5" s="18"/>
      <c r="K5" s="18"/>
    </row>
    <row r="6" spans="2:14" x14ac:dyDescent="0.35">
      <c r="B6" s="4" t="s">
        <v>1</v>
      </c>
      <c r="C6" s="33">
        <v>6.6500000000000004E-2</v>
      </c>
      <c r="D6" s="4"/>
      <c r="E6" s="6"/>
      <c r="F6" s="25"/>
      <c r="G6" s="25"/>
      <c r="H6" s="25"/>
      <c r="I6" s="25"/>
      <c r="J6" s="18"/>
      <c r="K6" s="18"/>
    </row>
    <row r="7" spans="2:14" x14ac:dyDescent="0.35">
      <c r="B7" s="4" t="s">
        <v>2</v>
      </c>
      <c r="C7" s="5">
        <f>C5/C6</f>
        <v>40071172.932330824</v>
      </c>
      <c r="D7" s="4"/>
      <c r="E7" s="4"/>
      <c r="F7" s="4"/>
      <c r="G7" s="4"/>
      <c r="H7" s="4"/>
      <c r="I7" s="4"/>
    </row>
    <row r="8" spans="2:14" x14ac:dyDescent="0.35">
      <c r="B8" s="4" t="s">
        <v>3</v>
      </c>
      <c r="C8" s="2">
        <f>-C7*0.01</f>
        <v>-400711.72932330827</v>
      </c>
      <c r="D8" s="4"/>
      <c r="E8" s="6"/>
      <c r="F8" s="26"/>
      <c r="G8" s="4"/>
      <c r="H8" s="4"/>
      <c r="I8" s="4"/>
    </row>
    <row r="9" spans="2:14" x14ac:dyDescent="0.35">
      <c r="B9" s="4" t="s">
        <v>4</v>
      </c>
      <c r="C9" s="3">
        <f>SUM(C7:C8)</f>
        <v>39670461.203007519</v>
      </c>
      <c r="D9" s="4"/>
      <c r="E9" s="4"/>
      <c r="F9" s="27"/>
      <c r="G9" s="13"/>
      <c r="H9" s="13"/>
      <c r="I9" s="13"/>
      <c r="J9" s="19"/>
      <c r="K9" s="19"/>
    </row>
    <row r="10" spans="2:14" x14ac:dyDescent="0.35">
      <c r="B10" s="4"/>
      <c r="C10" s="4"/>
      <c r="D10" s="4"/>
      <c r="E10" s="4"/>
      <c r="F10" s="4"/>
      <c r="G10" s="4"/>
      <c r="H10" s="4"/>
      <c r="I10" s="4"/>
    </row>
    <row r="11" spans="2:14" ht="16" x14ac:dyDescent="0.5">
      <c r="B11" s="4"/>
      <c r="C11" s="7">
        <v>0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  <c r="L11" s="7">
        <v>9</v>
      </c>
      <c r="M11" s="7">
        <v>10</v>
      </c>
    </row>
    <row r="12" spans="2:14" x14ac:dyDescent="0.35">
      <c r="B12" s="4"/>
      <c r="C12" s="8"/>
      <c r="D12" s="2"/>
      <c r="E12" s="2"/>
      <c r="F12" s="2"/>
      <c r="G12" s="2"/>
      <c r="H12" s="2"/>
      <c r="I12" s="4"/>
      <c r="K12" s="30"/>
      <c r="M12" s="10"/>
    </row>
    <row r="13" spans="2:14" ht="15" thickBot="1" x14ac:dyDescent="0.4">
      <c r="B13" s="4" t="s">
        <v>0</v>
      </c>
      <c r="C13" s="8"/>
      <c r="D13" s="39">
        <v>1948578.7</v>
      </c>
      <c r="E13" s="39">
        <v>2007036</v>
      </c>
      <c r="F13" s="39">
        <v>1836607</v>
      </c>
      <c r="G13" s="39">
        <v>2129264</v>
      </c>
      <c r="H13" s="39">
        <v>2193142</v>
      </c>
      <c r="I13" s="39">
        <v>2258937</v>
      </c>
      <c r="J13" s="39">
        <v>2326705</v>
      </c>
      <c r="K13" s="39">
        <v>1801246</v>
      </c>
      <c r="L13" s="39">
        <v>2468401</v>
      </c>
      <c r="M13" s="39">
        <v>2542453</v>
      </c>
    </row>
    <row r="14" spans="2:14" x14ac:dyDescent="0.35">
      <c r="B14" s="4" t="s">
        <v>5</v>
      </c>
      <c r="C14" s="8"/>
      <c r="D14" s="8"/>
      <c r="E14" s="8"/>
      <c r="F14" s="8"/>
      <c r="G14" s="8"/>
      <c r="I14" s="4"/>
      <c r="K14" s="30"/>
      <c r="M14" s="8">
        <f>+C9</f>
        <v>39670461.203007519</v>
      </c>
    </row>
    <row r="15" spans="2:14" x14ac:dyDescent="0.35">
      <c r="B15" s="6" t="s">
        <v>6</v>
      </c>
      <c r="C15" s="9">
        <f>SUM(C12:C14)</f>
        <v>0</v>
      </c>
      <c r="D15" s="9">
        <f t="shared" ref="D15:H15" si="0">SUM(D12:D14)</f>
        <v>1948578.7</v>
      </c>
      <c r="E15" s="9">
        <f t="shared" si="0"/>
        <v>2007036</v>
      </c>
      <c r="F15" s="9">
        <f t="shared" si="0"/>
        <v>1836607</v>
      </c>
      <c r="G15" s="9">
        <f t="shared" si="0"/>
        <v>2129264</v>
      </c>
      <c r="H15" s="9">
        <f t="shared" si="0"/>
        <v>2193142</v>
      </c>
      <c r="I15" s="17">
        <f>SUM(I12:I14)</f>
        <v>2258937</v>
      </c>
      <c r="J15" s="17">
        <f t="shared" ref="J15:M15" si="1">SUM(J12:J14)</f>
        <v>2326705</v>
      </c>
      <c r="K15" s="17">
        <f t="shared" si="1"/>
        <v>1801246</v>
      </c>
      <c r="L15" s="17">
        <f t="shared" si="1"/>
        <v>2468401</v>
      </c>
      <c r="M15" s="17">
        <f t="shared" si="1"/>
        <v>42212914.203007519</v>
      </c>
      <c r="N15" s="17"/>
    </row>
    <row r="16" spans="2:14" x14ac:dyDescent="0.35">
      <c r="B16" s="6" t="s">
        <v>10</v>
      </c>
      <c r="C16" s="9">
        <f t="shared" ref="C16:G16" si="2">C15/(1+$C$20)^C11</f>
        <v>0</v>
      </c>
      <c r="D16" s="9">
        <f>D15/(1+$C$20)^D11</f>
        <v>1821101.5887850465</v>
      </c>
      <c r="E16" s="9">
        <f t="shared" si="2"/>
        <v>1753022.9714385536</v>
      </c>
      <c r="F16" s="9">
        <f t="shared" si="2"/>
        <v>1499218.3947828768</v>
      </c>
      <c r="G16" s="9">
        <f t="shared" si="2"/>
        <v>1624405.3107851618</v>
      </c>
      <c r="H16" s="9">
        <f>H15/(1+$C$20)^H11</f>
        <v>1563679.9356451714</v>
      </c>
      <c r="I16" s="9">
        <f t="shared" ref="I16:M16" si="3">I15/(1+$C$20)^I11</f>
        <v>1505225.1040414013</v>
      </c>
      <c r="J16" s="9">
        <f t="shared" si="3"/>
        <v>1448954.9381915876</v>
      </c>
      <c r="K16" s="9">
        <f t="shared" si="3"/>
        <v>1048341.5715613572</v>
      </c>
      <c r="L16" s="9">
        <f t="shared" si="3"/>
        <v>1342646.5941284536</v>
      </c>
      <c r="M16" s="9">
        <f t="shared" si="3"/>
        <v>21458905.054042447</v>
      </c>
    </row>
    <row r="17" spans="2:13" x14ac:dyDescent="0.35">
      <c r="B17" s="6"/>
      <c r="C17" s="13"/>
      <c r="D17" s="13"/>
      <c r="E17" s="13"/>
      <c r="F17" s="13"/>
      <c r="G17" s="13"/>
      <c r="H17" s="13"/>
      <c r="I17" s="17"/>
      <c r="K17" s="34"/>
    </row>
    <row r="18" spans="2:13" ht="15" customHeight="1" x14ac:dyDescent="0.35">
      <c r="B18" s="14" t="s">
        <v>11</v>
      </c>
      <c r="C18" s="16">
        <f>SUM(C15:M15)</f>
        <v>61182830.903007522</v>
      </c>
      <c r="D18" s="13"/>
      <c r="E18" s="13"/>
      <c r="F18" s="13"/>
      <c r="G18" s="13"/>
      <c r="H18" s="13"/>
      <c r="I18" s="17"/>
    </row>
    <row r="19" spans="2:13" x14ac:dyDescent="0.35">
      <c r="B19" s="29" t="s">
        <v>12</v>
      </c>
      <c r="C19" s="28">
        <f>SUM(C16:M16)</f>
        <v>35065501.463402055</v>
      </c>
      <c r="D19" s="20"/>
      <c r="E19" s="4"/>
      <c r="F19" s="4"/>
      <c r="G19" s="4"/>
      <c r="H19" s="4"/>
      <c r="I19" s="4"/>
    </row>
    <row r="20" spans="2:13" x14ac:dyDescent="0.35">
      <c r="B20" s="15" t="s">
        <v>9</v>
      </c>
      <c r="C20" s="37">
        <v>7.0000000000000007E-2</v>
      </c>
      <c r="D20" s="4"/>
      <c r="E20" s="4"/>
      <c r="F20" s="4"/>
      <c r="G20" s="4"/>
      <c r="H20" s="4"/>
      <c r="I20" s="4"/>
    </row>
    <row r="21" spans="2:13" x14ac:dyDescent="0.35">
      <c r="K21" s="31"/>
    </row>
    <row r="22" spans="2:13" x14ac:dyDescent="0.35">
      <c r="B22" s="21" t="s">
        <v>15</v>
      </c>
      <c r="C22" s="22"/>
      <c r="D22" s="22"/>
      <c r="E22" s="22"/>
      <c r="F22" s="22"/>
      <c r="G22" s="22"/>
      <c r="H22" s="22"/>
      <c r="I22" s="23"/>
      <c r="K22" s="31"/>
    </row>
    <row r="23" spans="2:13" x14ac:dyDescent="0.35">
      <c r="B23" s="24"/>
      <c r="C23" s="24"/>
      <c r="D23" s="24"/>
      <c r="E23" s="24"/>
      <c r="F23" s="24"/>
      <c r="G23" s="24"/>
      <c r="H23" s="24"/>
      <c r="I23" s="24"/>
      <c r="K23" s="31"/>
    </row>
    <row r="24" spans="2:13" x14ac:dyDescent="0.35">
      <c r="B24" s="4" t="s">
        <v>13</v>
      </c>
      <c r="C24" s="32">
        <v>2664733</v>
      </c>
      <c r="D24" s="4"/>
      <c r="E24" s="4"/>
      <c r="F24" s="4"/>
      <c r="G24" s="4"/>
      <c r="H24" s="4"/>
      <c r="I24" s="4"/>
      <c r="K24" s="31"/>
    </row>
    <row r="25" spans="2:13" x14ac:dyDescent="0.35">
      <c r="B25" s="4" t="s">
        <v>1</v>
      </c>
      <c r="C25" s="33">
        <v>6.6500000000000004E-2</v>
      </c>
      <c r="D25" s="4"/>
      <c r="E25" s="4"/>
      <c r="F25" s="4"/>
      <c r="G25" s="4"/>
      <c r="H25" s="4"/>
      <c r="I25" s="4"/>
      <c r="K25" s="31"/>
    </row>
    <row r="26" spans="2:13" x14ac:dyDescent="0.35">
      <c r="B26" s="4" t="s">
        <v>2</v>
      </c>
      <c r="C26" s="5">
        <f>C24/C25</f>
        <v>40071172.932330824</v>
      </c>
      <c r="D26" s="4"/>
      <c r="E26" s="4"/>
      <c r="F26" s="4"/>
      <c r="G26" s="4"/>
      <c r="H26" s="4"/>
      <c r="I26" s="4"/>
    </row>
    <row r="27" spans="2:13" x14ac:dyDescent="0.35">
      <c r="B27" s="4" t="s">
        <v>3</v>
      </c>
      <c r="C27" s="2">
        <f>-C26*0.01</f>
        <v>-400711.72932330827</v>
      </c>
      <c r="D27" s="4"/>
      <c r="E27" s="4"/>
      <c r="F27" s="4"/>
      <c r="G27" s="4"/>
      <c r="H27" s="4"/>
      <c r="I27" s="4"/>
    </row>
    <row r="28" spans="2:13" x14ac:dyDescent="0.35">
      <c r="B28" s="4" t="s">
        <v>4</v>
      </c>
      <c r="C28" s="3">
        <f>SUM(C26:C27)</f>
        <v>39670461.203007519</v>
      </c>
      <c r="D28" s="4"/>
      <c r="E28" s="4"/>
      <c r="F28" s="4"/>
      <c r="G28" s="4"/>
      <c r="H28" s="4"/>
      <c r="I28" s="4"/>
    </row>
    <row r="29" spans="2:13" x14ac:dyDescent="0.35">
      <c r="B29" s="4"/>
      <c r="C29" s="4"/>
      <c r="D29" s="4"/>
      <c r="E29" s="4"/>
      <c r="F29" s="4"/>
      <c r="G29" s="4"/>
      <c r="H29" s="4"/>
      <c r="I29" s="4"/>
    </row>
    <row r="30" spans="2:13" ht="16" x14ac:dyDescent="0.5">
      <c r="B30" s="4"/>
      <c r="C30" s="7">
        <v>0</v>
      </c>
      <c r="D30" s="7">
        <v>1</v>
      </c>
      <c r="E30" s="7">
        <v>2</v>
      </c>
      <c r="F30" s="7">
        <v>3</v>
      </c>
      <c r="G30" s="7">
        <v>4</v>
      </c>
      <c r="H30" s="7">
        <v>5</v>
      </c>
      <c r="I30" s="4"/>
    </row>
    <row r="31" spans="2:13" x14ac:dyDescent="0.35">
      <c r="B31" s="4" t="s">
        <v>7</v>
      </c>
      <c r="C31" s="35">
        <f>-C19</f>
        <v>-35065501.463402055</v>
      </c>
      <c r="D31" s="2"/>
      <c r="E31" s="2"/>
      <c r="F31" s="2"/>
      <c r="G31" s="2"/>
      <c r="H31" s="2"/>
      <c r="I31" s="4"/>
    </row>
    <row r="32" spans="2:13" x14ac:dyDescent="0.35">
      <c r="B32" s="4" t="s">
        <v>0</v>
      </c>
      <c r="C32" s="2"/>
      <c r="D32" s="35">
        <f>D13</f>
        <v>1948578.7</v>
      </c>
      <c r="E32" s="35">
        <f>E13</f>
        <v>2007036</v>
      </c>
      <c r="F32" s="35">
        <f>F13</f>
        <v>1836607</v>
      </c>
      <c r="G32" s="35">
        <f>G13</f>
        <v>2129264</v>
      </c>
      <c r="H32" s="35">
        <f>H13</f>
        <v>2193142</v>
      </c>
      <c r="I32" s="35">
        <f>I13</f>
        <v>2258937</v>
      </c>
      <c r="J32" s="35">
        <f>J13</f>
        <v>2326705</v>
      </c>
      <c r="K32" s="35">
        <f>K13</f>
        <v>1801246</v>
      </c>
      <c r="L32" s="35">
        <f>L13</f>
        <v>2468401</v>
      </c>
      <c r="M32" s="35">
        <f>M13</f>
        <v>2542453</v>
      </c>
    </row>
    <row r="33" spans="2:13" x14ac:dyDescent="0.35">
      <c r="B33" s="4" t="s">
        <v>5</v>
      </c>
      <c r="C33" s="2"/>
      <c r="D33" s="8"/>
      <c r="E33" s="8"/>
      <c r="F33" s="8"/>
      <c r="G33" s="8"/>
      <c r="I33" s="4"/>
      <c r="K33" s="1"/>
      <c r="M33" s="35">
        <f>+C28</f>
        <v>39670461.203007519</v>
      </c>
    </row>
    <row r="34" spans="2:13" x14ac:dyDescent="0.35">
      <c r="B34" s="6" t="s">
        <v>6</v>
      </c>
      <c r="C34" s="3">
        <f>SUM(C31:C33)</f>
        <v>-35065501.463402055</v>
      </c>
      <c r="D34" s="3">
        <f t="shared" ref="D34:M34" si="4">SUM(D31:D33)</f>
        <v>1948578.7</v>
      </c>
      <c r="E34" s="3">
        <f t="shared" si="4"/>
        <v>2007036</v>
      </c>
      <c r="F34" s="3">
        <f t="shared" si="4"/>
        <v>1836607</v>
      </c>
      <c r="G34" s="3">
        <f t="shared" si="4"/>
        <v>2129264</v>
      </c>
      <c r="H34" s="3">
        <f t="shared" si="4"/>
        <v>2193142</v>
      </c>
      <c r="I34" s="3">
        <f t="shared" si="4"/>
        <v>2258937</v>
      </c>
      <c r="J34" s="3">
        <f t="shared" si="4"/>
        <v>2326705</v>
      </c>
      <c r="K34" s="3">
        <f t="shared" si="4"/>
        <v>1801246</v>
      </c>
      <c r="L34" s="3">
        <f t="shared" si="4"/>
        <v>2468401</v>
      </c>
      <c r="M34" s="3">
        <f t="shared" si="4"/>
        <v>42212914.203007519</v>
      </c>
    </row>
    <row r="35" spans="2:13" x14ac:dyDescent="0.35">
      <c r="B35" s="4"/>
      <c r="C35" s="4"/>
      <c r="D35" s="4"/>
      <c r="E35" s="4"/>
      <c r="F35" s="4"/>
      <c r="G35" s="4"/>
      <c r="H35" s="4"/>
      <c r="I35" s="4"/>
    </row>
    <row r="36" spans="2:13" x14ac:dyDescent="0.35">
      <c r="B36" s="11" t="s">
        <v>8</v>
      </c>
      <c r="C36" s="12">
        <f>IRR(C34:M34)</f>
        <v>7.0000000000000062E-2</v>
      </c>
      <c r="D36" s="4"/>
      <c r="E36" s="4"/>
      <c r="F36" s="4"/>
      <c r="G36" s="4"/>
      <c r="H36" s="4"/>
    </row>
    <row r="37" spans="2:13" x14ac:dyDescent="0.35">
      <c r="B37" s="4"/>
      <c r="C37" s="4"/>
      <c r="D37" s="4"/>
      <c r="E37" s="4"/>
      <c r="F37" s="4"/>
      <c r="G37" s="4"/>
      <c r="H37" s="4"/>
      <c r="I37" s="4"/>
    </row>
    <row r="38" spans="2:13" x14ac:dyDescent="0.35">
      <c r="B38" s="4"/>
      <c r="C38" s="4"/>
      <c r="D38" s="4"/>
      <c r="E38" s="4"/>
      <c r="F38" s="4"/>
      <c r="G38" s="4"/>
      <c r="H38" s="4"/>
      <c r="I38" s="4"/>
    </row>
    <row r="39" spans="2:13" x14ac:dyDescent="0.35">
      <c r="B39" s="4"/>
      <c r="C39" s="4"/>
      <c r="D39" s="4"/>
      <c r="E39" s="4"/>
      <c r="F39" s="4"/>
      <c r="G39" s="4"/>
      <c r="H39" s="4"/>
      <c r="I39" s="4"/>
    </row>
    <row r="40" spans="2:13" x14ac:dyDescent="0.35">
      <c r="B40" s="4"/>
      <c r="C40" s="4"/>
      <c r="D40" s="4"/>
      <c r="E40" s="4"/>
      <c r="F40" s="4"/>
      <c r="G40" s="4"/>
      <c r="H40" s="4"/>
      <c r="I40" s="4"/>
    </row>
    <row r="41" spans="2:13" x14ac:dyDescent="0.35">
      <c r="B41" s="4"/>
      <c r="C41" s="4"/>
      <c r="D41" s="4"/>
      <c r="E41" s="4"/>
      <c r="F41" s="4"/>
      <c r="G41" s="4"/>
      <c r="H41" s="4"/>
      <c r="I41" s="4"/>
    </row>
    <row r="42" spans="2:13" x14ac:dyDescent="0.35">
      <c r="B42" s="4"/>
      <c r="C42" s="4"/>
      <c r="D42" s="4"/>
      <c r="E42" s="4"/>
      <c r="F42" s="4"/>
      <c r="G42" s="4"/>
      <c r="H42" s="4"/>
      <c r="I42" s="4"/>
    </row>
    <row r="43" spans="2:13" x14ac:dyDescent="0.35">
      <c r="B43" s="4"/>
      <c r="C43" s="4"/>
      <c r="D43" s="4"/>
      <c r="E43" s="4"/>
      <c r="F43" s="4"/>
      <c r="G43" s="4"/>
      <c r="H43" s="4"/>
      <c r="I43" s="4"/>
    </row>
    <row r="46" spans="2:13" x14ac:dyDescent="0.35">
      <c r="D46" s="38"/>
      <c r="E46" s="38"/>
      <c r="F46" s="38"/>
      <c r="G46" s="38"/>
    </row>
    <row r="47" spans="2:13" x14ac:dyDescent="0.35">
      <c r="C47" s="38"/>
    </row>
    <row r="48" spans="2:13" x14ac:dyDescent="0.35">
      <c r="C48" s="38"/>
    </row>
    <row r="49" spans="3:3" x14ac:dyDescent="0.35">
      <c r="C49" s="38"/>
    </row>
    <row r="50" spans="3:3" x14ac:dyDescent="0.35">
      <c r="C50" s="38"/>
    </row>
    <row r="51" spans="3:3" x14ac:dyDescent="0.35">
      <c r="C51" s="3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FBF9-ADF8-4EDE-933C-B1EE62723EFE}">
  <dimension ref="B3:M43"/>
  <sheetViews>
    <sheetView zoomScale="120" zoomScaleNormal="120" workbookViewId="0">
      <selection sqref="A1:H42"/>
    </sheetView>
  </sheetViews>
  <sheetFormatPr defaultColWidth="9.1796875" defaultRowHeight="14.5" x14ac:dyDescent="0.35"/>
  <cols>
    <col min="2" max="2" width="26.7265625" customWidth="1"/>
    <col min="3" max="3" width="16.7265625" customWidth="1"/>
    <col min="4" max="4" width="13" customWidth="1"/>
    <col min="5" max="5" width="11" customWidth="1"/>
    <col min="6" max="11" width="12.453125" customWidth="1"/>
    <col min="12" max="12" width="11.453125" customWidth="1"/>
    <col min="14" max="14" width="3.26953125" customWidth="1"/>
    <col min="15" max="15" width="18.1796875" customWidth="1"/>
  </cols>
  <sheetData>
    <row r="3" spans="2:13" x14ac:dyDescent="0.35">
      <c r="B3" s="21"/>
      <c r="C3" s="22"/>
      <c r="D3" s="22"/>
      <c r="E3" s="22"/>
      <c r="F3" s="22"/>
      <c r="G3" s="22"/>
      <c r="H3" s="22"/>
      <c r="I3" s="23"/>
    </row>
    <row r="4" spans="2:13" x14ac:dyDescent="0.35">
      <c r="B4" s="24"/>
      <c r="C4" s="24"/>
      <c r="D4" s="24"/>
      <c r="E4" s="24"/>
      <c r="F4" s="24"/>
      <c r="G4" s="24"/>
      <c r="H4" s="24"/>
      <c r="I4" s="24"/>
    </row>
    <row r="5" spans="2:13" x14ac:dyDescent="0.35">
      <c r="B5" s="4"/>
      <c r="C5" s="32"/>
      <c r="D5" s="4"/>
      <c r="E5" s="4"/>
      <c r="F5" s="25"/>
      <c r="G5" s="25"/>
      <c r="H5" s="25"/>
      <c r="I5" s="25"/>
      <c r="J5" s="18"/>
      <c r="K5" s="18"/>
    </row>
    <row r="6" spans="2:13" x14ac:dyDescent="0.35">
      <c r="B6" s="4"/>
      <c r="C6" s="33"/>
      <c r="D6" s="4"/>
      <c r="E6" s="6"/>
      <c r="F6" s="25"/>
      <c r="G6" s="25"/>
      <c r="H6" s="25"/>
      <c r="I6" s="25"/>
      <c r="J6" s="18"/>
      <c r="K6" s="18"/>
    </row>
    <row r="7" spans="2:13" x14ac:dyDescent="0.35">
      <c r="B7" s="4"/>
      <c r="C7" s="5"/>
      <c r="D7" s="4"/>
      <c r="E7" s="4"/>
      <c r="F7" s="4"/>
      <c r="G7" s="4"/>
      <c r="H7" s="4"/>
      <c r="I7" s="4"/>
    </row>
    <row r="8" spans="2:13" x14ac:dyDescent="0.35">
      <c r="B8" s="4"/>
      <c r="C8" s="2"/>
      <c r="D8" s="4"/>
      <c r="E8" s="6"/>
      <c r="F8" s="26"/>
      <c r="G8" s="4"/>
      <c r="H8" s="4"/>
      <c r="I8" s="4"/>
    </row>
    <row r="9" spans="2:13" x14ac:dyDescent="0.35">
      <c r="B9" s="4"/>
      <c r="C9" s="3"/>
      <c r="D9" s="4"/>
      <c r="E9" s="4"/>
      <c r="F9" s="27"/>
      <c r="G9" s="13"/>
      <c r="H9" s="13"/>
      <c r="I9" s="13"/>
      <c r="J9" s="19"/>
      <c r="K9" s="19"/>
    </row>
    <row r="10" spans="2:13" x14ac:dyDescent="0.35">
      <c r="B10" s="4"/>
      <c r="C10" s="4"/>
      <c r="D10" s="4"/>
      <c r="E10" s="4"/>
      <c r="F10" s="4"/>
      <c r="G10" s="4"/>
      <c r="H10" s="4"/>
      <c r="I10" s="4"/>
    </row>
    <row r="11" spans="2:13" ht="16" x14ac:dyDescent="0.5">
      <c r="B11" s="4"/>
      <c r="C11" s="7"/>
      <c r="D11" s="7"/>
      <c r="E11" s="7"/>
      <c r="F11" s="7"/>
      <c r="G11" s="7"/>
      <c r="H11" s="7"/>
      <c r="I11" s="4"/>
    </row>
    <row r="12" spans="2:13" x14ac:dyDescent="0.35">
      <c r="B12" s="4"/>
      <c r="C12" s="8"/>
      <c r="D12" s="2"/>
      <c r="E12" s="2"/>
      <c r="F12" s="2"/>
      <c r="G12" s="2"/>
      <c r="H12" s="2"/>
      <c r="I12" s="4"/>
      <c r="K12" s="30"/>
      <c r="M12" s="10"/>
    </row>
    <row r="13" spans="2:13" x14ac:dyDescent="0.35">
      <c r="B13" s="4"/>
      <c r="C13" s="8"/>
      <c r="D13" s="35"/>
      <c r="E13" s="35"/>
      <c r="F13" s="35"/>
      <c r="G13" s="35"/>
      <c r="H13" s="35"/>
      <c r="I13" s="4"/>
      <c r="K13" s="30"/>
      <c r="M13" s="10"/>
    </row>
    <row r="14" spans="2:13" x14ac:dyDescent="0.35">
      <c r="B14" s="4"/>
      <c r="C14" s="8"/>
      <c r="D14" s="8"/>
      <c r="E14" s="8"/>
      <c r="F14" s="8"/>
      <c r="G14" s="8"/>
      <c r="H14" s="35"/>
      <c r="I14" s="4"/>
      <c r="K14" s="30"/>
      <c r="M14" s="10"/>
    </row>
    <row r="15" spans="2:13" x14ac:dyDescent="0.35">
      <c r="B15" s="6"/>
      <c r="C15" s="9"/>
      <c r="D15" s="9"/>
      <c r="E15" s="9"/>
      <c r="F15" s="9"/>
      <c r="G15" s="9"/>
      <c r="H15" s="9"/>
      <c r="I15" s="17"/>
    </row>
    <row r="16" spans="2:13" x14ac:dyDescent="0.35">
      <c r="B16" s="6"/>
      <c r="C16" s="9"/>
      <c r="D16" s="9"/>
      <c r="E16" s="9"/>
      <c r="F16" s="9"/>
      <c r="G16" s="9"/>
      <c r="H16" s="9"/>
      <c r="I16" s="17"/>
    </row>
    <row r="17" spans="2:11" x14ac:dyDescent="0.35">
      <c r="B17" s="6"/>
      <c r="C17" s="13"/>
      <c r="D17" s="13"/>
      <c r="E17" s="13"/>
      <c r="F17" s="13"/>
      <c r="G17" s="13"/>
      <c r="H17" s="13"/>
      <c r="I17" s="17"/>
      <c r="K17" s="34"/>
    </row>
    <row r="18" spans="2:11" ht="15" customHeight="1" x14ac:dyDescent="0.35">
      <c r="B18" s="14"/>
      <c r="C18" s="16"/>
      <c r="D18" s="13"/>
      <c r="E18" s="13"/>
      <c r="F18" s="13"/>
      <c r="G18" s="13"/>
      <c r="H18" s="13"/>
      <c r="I18" s="17"/>
    </row>
    <row r="19" spans="2:11" x14ac:dyDescent="0.35">
      <c r="B19" s="29"/>
      <c r="C19" s="28"/>
      <c r="D19" s="20"/>
      <c r="E19" s="4"/>
      <c r="F19" s="4"/>
      <c r="G19" s="4"/>
      <c r="H19" s="4"/>
      <c r="I19" s="4"/>
    </row>
    <row r="20" spans="2:11" x14ac:dyDescent="0.35">
      <c r="B20" s="15"/>
      <c r="C20" s="36"/>
      <c r="D20" s="4"/>
      <c r="E20" s="4"/>
      <c r="F20" s="4"/>
      <c r="G20" s="4"/>
      <c r="H20" s="4"/>
      <c r="I20" s="4"/>
    </row>
    <row r="21" spans="2:11" x14ac:dyDescent="0.35">
      <c r="K21" s="31"/>
    </row>
    <row r="22" spans="2:11" x14ac:dyDescent="0.35">
      <c r="B22" s="21"/>
      <c r="C22" s="22"/>
      <c r="D22" s="22"/>
      <c r="E22" s="22"/>
      <c r="F22" s="22"/>
      <c r="G22" s="22"/>
      <c r="H22" s="22"/>
      <c r="I22" s="23"/>
      <c r="K22" s="31"/>
    </row>
    <row r="23" spans="2:11" x14ac:dyDescent="0.35">
      <c r="B23" s="24"/>
      <c r="C23" s="24"/>
      <c r="D23" s="24"/>
      <c r="E23" s="24"/>
      <c r="F23" s="24"/>
      <c r="G23" s="24"/>
      <c r="H23" s="24"/>
      <c r="I23" s="24"/>
      <c r="K23" s="31"/>
    </row>
    <row r="24" spans="2:11" x14ac:dyDescent="0.35">
      <c r="B24" s="4"/>
      <c r="C24" s="32"/>
      <c r="D24" s="4"/>
      <c r="E24" s="4"/>
      <c r="F24" s="4"/>
      <c r="G24" s="4"/>
      <c r="H24" s="4"/>
      <c r="I24" s="4"/>
      <c r="K24" s="31"/>
    </row>
    <row r="25" spans="2:11" x14ac:dyDescent="0.35">
      <c r="B25" s="4"/>
      <c r="C25" s="33"/>
      <c r="D25" s="4"/>
      <c r="E25" s="4"/>
      <c r="F25" s="4"/>
      <c r="G25" s="4"/>
      <c r="H25" s="4"/>
      <c r="I25" s="4"/>
      <c r="K25" s="31"/>
    </row>
    <row r="26" spans="2:11" x14ac:dyDescent="0.35">
      <c r="B26" s="4"/>
      <c r="C26" s="5"/>
      <c r="D26" s="4"/>
      <c r="E26" s="4"/>
      <c r="F26" s="4"/>
      <c r="G26" s="4"/>
      <c r="H26" s="4"/>
      <c r="I26" s="4"/>
    </row>
    <row r="27" spans="2:11" x14ac:dyDescent="0.35">
      <c r="B27" s="4"/>
      <c r="C27" s="2"/>
      <c r="D27" s="4"/>
      <c r="E27" s="4"/>
      <c r="F27" s="4"/>
      <c r="G27" s="4"/>
      <c r="H27" s="4"/>
      <c r="I27" s="4"/>
    </row>
    <row r="28" spans="2:11" x14ac:dyDescent="0.35">
      <c r="B28" s="4"/>
      <c r="C28" s="3"/>
      <c r="D28" s="4"/>
      <c r="E28" s="4"/>
      <c r="F28" s="4"/>
      <c r="G28" s="4"/>
      <c r="H28" s="4"/>
      <c r="I28" s="4"/>
    </row>
    <row r="29" spans="2:11" x14ac:dyDescent="0.35">
      <c r="B29" s="4"/>
      <c r="C29" s="4"/>
      <c r="D29" s="4"/>
      <c r="E29" s="4"/>
      <c r="F29" s="4"/>
      <c r="G29" s="4"/>
      <c r="H29" s="4"/>
      <c r="I29" s="4"/>
    </row>
    <row r="30" spans="2:11" ht="16" x14ac:dyDescent="0.5">
      <c r="B30" s="4"/>
      <c r="C30" s="7"/>
      <c r="D30" s="7"/>
      <c r="E30" s="7"/>
      <c r="F30" s="7"/>
      <c r="G30" s="7"/>
      <c r="H30" s="7"/>
      <c r="I30" s="4"/>
    </row>
    <row r="31" spans="2:11" x14ac:dyDescent="0.35">
      <c r="B31" s="4"/>
      <c r="C31" s="35"/>
      <c r="D31" s="2"/>
      <c r="E31" s="2"/>
      <c r="F31" s="2"/>
      <c r="G31" s="2"/>
      <c r="H31" s="2"/>
      <c r="I31" s="4"/>
    </row>
    <row r="32" spans="2:11" x14ac:dyDescent="0.35">
      <c r="B32" s="4"/>
      <c r="C32" s="2"/>
      <c r="D32" s="35"/>
      <c r="E32" s="35"/>
      <c r="F32" s="35"/>
      <c r="G32" s="35"/>
      <c r="H32" s="35"/>
      <c r="I32" s="4"/>
    </row>
    <row r="33" spans="2:11" x14ac:dyDescent="0.35">
      <c r="B33" s="4"/>
      <c r="C33" s="2"/>
      <c r="D33" s="8"/>
      <c r="E33" s="8"/>
      <c r="F33" s="8"/>
      <c r="G33" s="8"/>
      <c r="H33" s="35"/>
      <c r="I33" s="4"/>
      <c r="K33" s="1"/>
    </row>
    <row r="34" spans="2:11" x14ac:dyDescent="0.35">
      <c r="B34" s="6"/>
      <c r="C34" s="3"/>
      <c r="D34" s="3"/>
      <c r="E34" s="3"/>
      <c r="F34" s="3"/>
      <c r="G34" s="3"/>
      <c r="H34" s="3"/>
      <c r="I34" s="4"/>
    </row>
    <row r="35" spans="2:11" x14ac:dyDescent="0.35">
      <c r="B35" s="4"/>
      <c r="C35" s="4"/>
      <c r="D35" s="4"/>
      <c r="E35" s="4"/>
      <c r="F35" s="4"/>
      <c r="G35" s="4"/>
      <c r="H35" s="4"/>
      <c r="I35" s="4"/>
    </row>
    <row r="36" spans="2:11" x14ac:dyDescent="0.35">
      <c r="B36" s="11"/>
      <c r="C36" s="12"/>
      <c r="D36" s="4"/>
      <c r="E36" s="4"/>
      <c r="F36" s="4"/>
      <c r="G36" s="4"/>
      <c r="H36" s="4"/>
    </row>
    <row r="37" spans="2:11" x14ac:dyDescent="0.35">
      <c r="B37" s="4"/>
      <c r="C37" s="4"/>
      <c r="D37" s="4"/>
      <c r="E37" s="4"/>
      <c r="F37" s="4"/>
      <c r="G37" s="4"/>
      <c r="H37" s="4"/>
      <c r="I37" s="4"/>
    </row>
    <row r="38" spans="2:11" x14ac:dyDescent="0.35">
      <c r="B38" s="4"/>
      <c r="C38" s="4"/>
      <c r="D38" s="4"/>
      <c r="E38" s="4"/>
      <c r="F38" s="4"/>
      <c r="G38" s="4"/>
      <c r="H38" s="4"/>
      <c r="I38" s="4"/>
    </row>
    <row r="39" spans="2:11" x14ac:dyDescent="0.35">
      <c r="B39" s="4"/>
      <c r="C39" s="4"/>
      <c r="D39" s="4"/>
      <c r="E39" s="4"/>
      <c r="F39" s="4"/>
      <c r="G39" s="4"/>
      <c r="H39" s="4"/>
      <c r="I39" s="4"/>
    </row>
    <row r="40" spans="2:11" x14ac:dyDescent="0.35">
      <c r="B40" s="4"/>
      <c r="C40" s="4"/>
      <c r="D40" s="4"/>
      <c r="E40" s="4"/>
      <c r="F40" s="4"/>
      <c r="G40" s="4"/>
      <c r="H40" s="4"/>
      <c r="I40" s="4"/>
    </row>
    <row r="41" spans="2:11" x14ac:dyDescent="0.35">
      <c r="B41" s="4"/>
      <c r="C41" s="4"/>
      <c r="D41" s="4"/>
      <c r="E41" s="4"/>
      <c r="F41" s="4"/>
      <c r="G41" s="4"/>
      <c r="H41" s="4"/>
      <c r="I41" s="4"/>
    </row>
    <row r="42" spans="2:11" x14ac:dyDescent="0.35">
      <c r="B42" s="4"/>
      <c r="C42" s="4"/>
      <c r="D42" s="4"/>
      <c r="E42" s="4"/>
      <c r="F42" s="4"/>
      <c r="G42" s="4"/>
      <c r="H42" s="4"/>
      <c r="I42" s="4"/>
    </row>
    <row r="43" spans="2:11" x14ac:dyDescent="0.35">
      <c r="B43" s="4"/>
      <c r="C43" s="4"/>
      <c r="D43" s="4"/>
      <c r="E43" s="4"/>
      <c r="F43" s="4"/>
      <c r="G43" s="4"/>
      <c r="H43" s="4"/>
      <c r="I43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Byrd</dc:creator>
  <cp:lastModifiedBy>will holt</cp:lastModifiedBy>
  <dcterms:created xsi:type="dcterms:W3CDTF">2019-10-03T15:32:17Z</dcterms:created>
  <dcterms:modified xsi:type="dcterms:W3CDTF">2025-02-11T20:28:40Z</dcterms:modified>
</cp:coreProperties>
</file>