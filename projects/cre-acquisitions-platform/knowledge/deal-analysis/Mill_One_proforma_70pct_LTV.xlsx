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7ba865b1505c0b/Desktop/"/>
    </mc:Choice>
  </mc:AlternateContent>
  <xr:revisionPtr revIDLastSave="49" documentId="8_{2A8C2E2C-0A77-42DC-AE34-984622CE2378}" xr6:coauthVersionLast="47" xr6:coauthVersionMax="47" xr10:uidLastSave="{A4869E76-7C93-424A-8357-90F7B97B8FAD}"/>
  <bookViews>
    <workbookView xWindow="-16770" yWindow="1680" windowWidth="27660" windowHeight="15450" xr2:uid="{00000000-000D-0000-FFFF-FFFF00000000}"/>
  </bookViews>
  <sheets>
    <sheet name="Pro Forma_BLANK" sheetId="1" r:id="rId1"/>
    <sheet name="Loan Amortization_BLANK" sheetId="3" r:id="rId2"/>
  </sheets>
  <definedNames>
    <definedName name="_xlnm.Print_Area" localSheetId="0">'Pro Forma_BLANK'!$B$2:$S$86</definedName>
    <definedName name="_xlnm.Print_Titles" localSheetId="0">'Pro Forma_BLANK'!$2:$4</definedName>
  </definedNames>
  <calcPr calcId="191029" calcMode="autoNoTable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83" i="1" l="1"/>
  <c r="L83" i="1"/>
  <c r="M83" i="1"/>
  <c r="N83" i="1"/>
  <c r="O83" i="1"/>
  <c r="P83" i="1"/>
  <c r="Q83" i="1"/>
  <c r="R83" i="1"/>
  <c r="J83" i="1"/>
  <c r="C21" i="1"/>
  <c r="C22" i="1"/>
  <c r="C23" i="1"/>
  <c r="R40" i="1"/>
  <c r="R66" i="1"/>
  <c r="R67" i="1"/>
  <c r="I76" i="1"/>
  <c r="C30" i="1"/>
  <c r="D7" i="3"/>
  <c r="E15" i="3"/>
  <c r="H14" i="3"/>
  <c r="D15" i="3"/>
  <c r="F15" i="3"/>
  <c r="G15" i="3"/>
  <c r="H15" i="3"/>
  <c r="D16" i="3"/>
  <c r="E16" i="3"/>
  <c r="F16" i="3"/>
  <c r="G16" i="3"/>
  <c r="H16" i="3"/>
  <c r="D17" i="3"/>
  <c r="E17" i="3"/>
  <c r="F17" i="3"/>
  <c r="G17" i="3"/>
  <c r="H17" i="3"/>
  <c r="D18" i="3"/>
  <c r="E18" i="3"/>
  <c r="F18" i="3"/>
  <c r="G18" i="3"/>
  <c r="H18" i="3"/>
  <c r="D19" i="3"/>
  <c r="E19" i="3"/>
  <c r="F19" i="3"/>
  <c r="G19" i="3"/>
  <c r="H19" i="3"/>
  <c r="D20" i="3"/>
  <c r="E20" i="3"/>
  <c r="F20" i="3"/>
  <c r="G20" i="3"/>
  <c r="H20" i="3"/>
  <c r="D21" i="3"/>
  <c r="E21" i="3"/>
  <c r="F21" i="3"/>
  <c r="G21" i="3"/>
  <c r="H21" i="3"/>
  <c r="D22" i="3"/>
  <c r="E22" i="3"/>
  <c r="F22" i="3"/>
  <c r="G22" i="3"/>
  <c r="H22" i="3"/>
  <c r="D23" i="3"/>
  <c r="E23" i="3"/>
  <c r="F23" i="3"/>
  <c r="G23" i="3"/>
  <c r="H23" i="3"/>
  <c r="D24" i="3"/>
  <c r="E24" i="3"/>
  <c r="F24" i="3"/>
  <c r="G24" i="3"/>
  <c r="H24" i="3"/>
  <c r="D25" i="3"/>
  <c r="E25" i="3"/>
  <c r="F25" i="3"/>
  <c r="G25" i="3"/>
  <c r="H25" i="3"/>
  <c r="D26" i="3"/>
  <c r="E26" i="3"/>
  <c r="F26" i="3"/>
  <c r="G26" i="3"/>
  <c r="H26" i="3"/>
  <c r="D27" i="3"/>
  <c r="E27" i="3"/>
  <c r="F27" i="3"/>
  <c r="G27" i="3"/>
  <c r="H27" i="3"/>
  <c r="D28" i="3"/>
  <c r="E28" i="3"/>
  <c r="F28" i="3"/>
  <c r="G28" i="3"/>
  <c r="H28" i="3"/>
  <c r="D29" i="3"/>
  <c r="E29" i="3"/>
  <c r="F29" i="3"/>
  <c r="G29" i="3"/>
  <c r="H29" i="3"/>
  <c r="D30" i="3"/>
  <c r="E30" i="3"/>
  <c r="F30" i="3"/>
  <c r="G30" i="3"/>
  <c r="H30" i="3"/>
  <c r="D31" i="3"/>
  <c r="E31" i="3"/>
  <c r="F31" i="3"/>
  <c r="G31" i="3"/>
  <c r="H31" i="3"/>
  <c r="D32" i="3"/>
  <c r="E32" i="3"/>
  <c r="F32" i="3"/>
  <c r="G32" i="3"/>
  <c r="H32" i="3"/>
  <c r="D33" i="3"/>
  <c r="E33" i="3"/>
  <c r="F33" i="3"/>
  <c r="G33" i="3"/>
  <c r="H33" i="3"/>
  <c r="D34" i="3"/>
  <c r="E34" i="3"/>
  <c r="F34" i="3"/>
  <c r="G34" i="3"/>
  <c r="H34" i="3"/>
  <c r="D35" i="3"/>
  <c r="E35" i="3"/>
  <c r="F35" i="3"/>
  <c r="G35" i="3"/>
  <c r="H35" i="3"/>
  <c r="D36" i="3"/>
  <c r="E36" i="3"/>
  <c r="F36" i="3"/>
  <c r="G36" i="3"/>
  <c r="H36" i="3"/>
  <c r="D37" i="3"/>
  <c r="E37" i="3"/>
  <c r="F37" i="3"/>
  <c r="G37" i="3"/>
  <c r="H37" i="3"/>
  <c r="D38" i="3"/>
  <c r="E38" i="3"/>
  <c r="F38" i="3"/>
  <c r="G38" i="3"/>
  <c r="H38" i="3"/>
  <c r="D39" i="3"/>
  <c r="E39" i="3"/>
  <c r="F39" i="3"/>
  <c r="G39" i="3"/>
  <c r="H39" i="3"/>
  <c r="D40" i="3"/>
  <c r="E40" i="3"/>
  <c r="F40" i="3"/>
  <c r="G40" i="3"/>
  <c r="H40" i="3"/>
  <c r="D41" i="3"/>
  <c r="E41" i="3"/>
  <c r="F41" i="3"/>
  <c r="G41" i="3"/>
  <c r="H41" i="3"/>
  <c r="D42" i="3"/>
  <c r="E42" i="3"/>
  <c r="F42" i="3"/>
  <c r="G42" i="3"/>
  <c r="H42" i="3"/>
  <c r="D43" i="3"/>
  <c r="E43" i="3"/>
  <c r="F43" i="3"/>
  <c r="G43" i="3"/>
  <c r="H43" i="3"/>
  <c r="D44" i="3"/>
  <c r="E44" i="3"/>
  <c r="F44" i="3"/>
  <c r="G44" i="3"/>
  <c r="H44" i="3"/>
  <c r="D45" i="3"/>
  <c r="E45" i="3"/>
  <c r="F45" i="3"/>
  <c r="G45" i="3"/>
  <c r="H45" i="3"/>
  <c r="D46" i="3"/>
  <c r="E46" i="3"/>
  <c r="F46" i="3"/>
  <c r="G46" i="3"/>
  <c r="H46" i="3"/>
  <c r="D47" i="3"/>
  <c r="E47" i="3"/>
  <c r="F47" i="3"/>
  <c r="G47" i="3"/>
  <c r="H47" i="3"/>
  <c r="D48" i="3"/>
  <c r="E48" i="3"/>
  <c r="F48" i="3"/>
  <c r="G48" i="3"/>
  <c r="H48" i="3"/>
  <c r="D49" i="3"/>
  <c r="E49" i="3"/>
  <c r="F49" i="3"/>
  <c r="G49" i="3"/>
  <c r="H49" i="3"/>
  <c r="D50" i="3"/>
  <c r="E50" i="3"/>
  <c r="F50" i="3"/>
  <c r="G50" i="3"/>
  <c r="H50" i="3"/>
  <c r="D51" i="3"/>
  <c r="E51" i="3"/>
  <c r="F51" i="3"/>
  <c r="G51" i="3"/>
  <c r="H51" i="3"/>
  <c r="D52" i="3"/>
  <c r="E52" i="3"/>
  <c r="F52" i="3"/>
  <c r="G52" i="3"/>
  <c r="H52" i="3"/>
  <c r="D53" i="3"/>
  <c r="E53" i="3"/>
  <c r="F53" i="3"/>
  <c r="G53" i="3"/>
  <c r="H53" i="3"/>
  <c r="D54" i="3"/>
  <c r="E54" i="3"/>
  <c r="F54" i="3"/>
  <c r="G54" i="3"/>
  <c r="H54" i="3"/>
  <c r="D55" i="3"/>
  <c r="E55" i="3"/>
  <c r="F55" i="3"/>
  <c r="G55" i="3"/>
  <c r="H55" i="3"/>
  <c r="D56" i="3"/>
  <c r="E56" i="3"/>
  <c r="F56" i="3"/>
  <c r="G56" i="3"/>
  <c r="H56" i="3"/>
  <c r="D57" i="3"/>
  <c r="E57" i="3"/>
  <c r="F57" i="3"/>
  <c r="G57" i="3"/>
  <c r="H57" i="3"/>
  <c r="D58" i="3"/>
  <c r="E58" i="3"/>
  <c r="F58" i="3"/>
  <c r="G58" i="3"/>
  <c r="H58" i="3"/>
  <c r="D59" i="3"/>
  <c r="E59" i="3"/>
  <c r="F59" i="3"/>
  <c r="G59" i="3"/>
  <c r="H59" i="3"/>
  <c r="D60" i="3"/>
  <c r="E60" i="3"/>
  <c r="F60" i="3"/>
  <c r="G60" i="3"/>
  <c r="H60" i="3"/>
  <c r="D61" i="3"/>
  <c r="E61" i="3"/>
  <c r="F61" i="3"/>
  <c r="G61" i="3"/>
  <c r="H61" i="3"/>
  <c r="D62" i="3"/>
  <c r="E62" i="3"/>
  <c r="F62" i="3"/>
  <c r="G62" i="3"/>
  <c r="H62" i="3"/>
  <c r="D63" i="3"/>
  <c r="E63" i="3"/>
  <c r="F63" i="3"/>
  <c r="G63" i="3"/>
  <c r="H63" i="3"/>
  <c r="D64" i="3"/>
  <c r="E64" i="3"/>
  <c r="F64" i="3"/>
  <c r="G64" i="3"/>
  <c r="H64" i="3"/>
  <c r="D65" i="3"/>
  <c r="E65" i="3"/>
  <c r="F65" i="3"/>
  <c r="G65" i="3"/>
  <c r="H65" i="3"/>
  <c r="D66" i="3"/>
  <c r="E66" i="3"/>
  <c r="F66" i="3"/>
  <c r="G66" i="3"/>
  <c r="H66" i="3"/>
  <c r="D67" i="3"/>
  <c r="E67" i="3"/>
  <c r="F67" i="3"/>
  <c r="G67" i="3"/>
  <c r="H67" i="3"/>
  <c r="D68" i="3"/>
  <c r="E68" i="3"/>
  <c r="F68" i="3"/>
  <c r="G68" i="3"/>
  <c r="H68" i="3"/>
  <c r="D69" i="3"/>
  <c r="E69" i="3"/>
  <c r="F69" i="3"/>
  <c r="G69" i="3"/>
  <c r="H69" i="3"/>
  <c r="D70" i="3"/>
  <c r="E70" i="3"/>
  <c r="F70" i="3"/>
  <c r="G70" i="3"/>
  <c r="H70" i="3"/>
  <c r="D71" i="3"/>
  <c r="E71" i="3"/>
  <c r="F71" i="3"/>
  <c r="G71" i="3"/>
  <c r="H71" i="3"/>
  <c r="D72" i="3"/>
  <c r="E72" i="3"/>
  <c r="F72" i="3"/>
  <c r="G72" i="3"/>
  <c r="H72" i="3"/>
  <c r="D73" i="3"/>
  <c r="E73" i="3"/>
  <c r="F73" i="3"/>
  <c r="G73" i="3"/>
  <c r="H73" i="3"/>
  <c r="D74" i="3"/>
  <c r="E74" i="3"/>
  <c r="F74" i="3"/>
  <c r="G74" i="3"/>
  <c r="H74" i="3"/>
  <c r="D75" i="3"/>
  <c r="E75" i="3"/>
  <c r="F75" i="3"/>
  <c r="G75" i="3"/>
  <c r="H75" i="3"/>
  <c r="D76" i="3"/>
  <c r="E76" i="3"/>
  <c r="F76" i="3"/>
  <c r="G76" i="3"/>
  <c r="H76" i="3"/>
  <c r="D77" i="3"/>
  <c r="E77" i="3"/>
  <c r="F77" i="3"/>
  <c r="G77" i="3"/>
  <c r="H77" i="3"/>
  <c r="D78" i="3"/>
  <c r="E78" i="3"/>
  <c r="F78" i="3"/>
  <c r="G78" i="3"/>
  <c r="H78" i="3"/>
  <c r="D79" i="3"/>
  <c r="E79" i="3"/>
  <c r="F79" i="3"/>
  <c r="G79" i="3"/>
  <c r="H79" i="3"/>
  <c r="D80" i="3"/>
  <c r="E80" i="3"/>
  <c r="F80" i="3"/>
  <c r="G80" i="3"/>
  <c r="H80" i="3"/>
  <c r="D81" i="3"/>
  <c r="E81" i="3"/>
  <c r="F81" i="3"/>
  <c r="G81" i="3"/>
  <c r="H81" i="3"/>
  <c r="D82" i="3"/>
  <c r="E82" i="3"/>
  <c r="F82" i="3"/>
  <c r="G82" i="3"/>
  <c r="H82" i="3"/>
  <c r="D83" i="3"/>
  <c r="E83" i="3"/>
  <c r="F83" i="3"/>
  <c r="G83" i="3"/>
  <c r="H83" i="3"/>
  <c r="D84" i="3"/>
  <c r="E84" i="3"/>
  <c r="F84" i="3"/>
  <c r="G84" i="3"/>
  <c r="H84" i="3"/>
  <c r="D85" i="3"/>
  <c r="E85" i="3"/>
  <c r="F85" i="3"/>
  <c r="G85" i="3"/>
  <c r="H85" i="3"/>
  <c r="D86" i="3"/>
  <c r="E86" i="3"/>
  <c r="F86" i="3"/>
  <c r="G86" i="3"/>
  <c r="H86" i="3"/>
  <c r="D87" i="3"/>
  <c r="E87" i="3"/>
  <c r="F87" i="3"/>
  <c r="G87" i="3"/>
  <c r="H87" i="3"/>
  <c r="D88" i="3"/>
  <c r="E88" i="3"/>
  <c r="F88" i="3"/>
  <c r="G88" i="3"/>
  <c r="H88" i="3"/>
  <c r="D89" i="3"/>
  <c r="E89" i="3"/>
  <c r="F89" i="3"/>
  <c r="G89" i="3"/>
  <c r="H89" i="3"/>
  <c r="D90" i="3"/>
  <c r="E90" i="3"/>
  <c r="F90" i="3"/>
  <c r="G90" i="3"/>
  <c r="H90" i="3"/>
  <c r="D91" i="3"/>
  <c r="E91" i="3"/>
  <c r="F91" i="3"/>
  <c r="G91" i="3"/>
  <c r="H91" i="3"/>
  <c r="D92" i="3"/>
  <c r="E92" i="3"/>
  <c r="F92" i="3"/>
  <c r="G92" i="3"/>
  <c r="H92" i="3"/>
  <c r="D93" i="3"/>
  <c r="E93" i="3"/>
  <c r="F93" i="3"/>
  <c r="G93" i="3"/>
  <c r="H93" i="3"/>
  <c r="D94" i="3"/>
  <c r="E94" i="3"/>
  <c r="F94" i="3"/>
  <c r="G94" i="3"/>
  <c r="H94" i="3"/>
  <c r="D95" i="3"/>
  <c r="E95" i="3"/>
  <c r="F95" i="3"/>
  <c r="G95" i="3"/>
  <c r="H95" i="3"/>
  <c r="D96" i="3"/>
  <c r="E96" i="3"/>
  <c r="F96" i="3"/>
  <c r="G96" i="3"/>
  <c r="H96" i="3"/>
  <c r="D97" i="3"/>
  <c r="E97" i="3"/>
  <c r="F97" i="3"/>
  <c r="G97" i="3"/>
  <c r="H97" i="3"/>
  <c r="D98" i="3"/>
  <c r="E98" i="3"/>
  <c r="F98" i="3"/>
  <c r="G98" i="3"/>
  <c r="H98" i="3"/>
  <c r="D99" i="3"/>
  <c r="E99" i="3"/>
  <c r="F99" i="3"/>
  <c r="G99" i="3"/>
  <c r="H99" i="3"/>
  <c r="D100" i="3"/>
  <c r="E100" i="3"/>
  <c r="F100" i="3"/>
  <c r="G100" i="3"/>
  <c r="H100" i="3"/>
  <c r="D101" i="3"/>
  <c r="E101" i="3"/>
  <c r="F101" i="3"/>
  <c r="G101" i="3"/>
  <c r="H101" i="3"/>
  <c r="D102" i="3"/>
  <c r="E102" i="3"/>
  <c r="F102" i="3"/>
  <c r="G102" i="3"/>
  <c r="H102" i="3"/>
  <c r="D103" i="3"/>
  <c r="E103" i="3"/>
  <c r="F103" i="3"/>
  <c r="G103" i="3"/>
  <c r="H103" i="3"/>
  <c r="D104" i="3"/>
  <c r="E104" i="3"/>
  <c r="F104" i="3"/>
  <c r="G104" i="3"/>
  <c r="H104" i="3"/>
  <c r="D105" i="3"/>
  <c r="E105" i="3"/>
  <c r="F105" i="3"/>
  <c r="G105" i="3"/>
  <c r="H105" i="3"/>
  <c r="D106" i="3"/>
  <c r="E106" i="3"/>
  <c r="F106" i="3"/>
  <c r="G106" i="3"/>
  <c r="H106" i="3"/>
  <c r="D107" i="3"/>
  <c r="E107" i="3"/>
  <c r="F107" i="3"/>
  <c r="G107" i="3"/>
  <c r="H107" i="3"/>
  <c r="D108" i="3"/>
  <c r="E108" i="3"/>
  <c r="F108" i="3"/>
  <c r="G108" i="3"/>
  <c r="H108" i="3"/>
  <c r="D109" i="3"/>
  <c r="E109" i="3"/>
  <c r="F109" i="3"/>
  <c r="G109" i="3"/>
  <c r="H109" i="3"/>
  <c r="D110" i="3"/>
  <c r="E110" i="3"/>
  <c r="F110" i="3"/>
  <c r="G110" i="3"/>
  <c r="H110" i="3"/>
  <c r="D111" i="3"/>
  <c r="E111" i="3"/>
  <c r="F111" i="3"/>
  <c r="G111" i="3"/>
  <c r="H111" i="3"/>
  <c r="D112" i="3"/>
  <c r="E112" i="3"/>
  <c r="F112" i="3"/>
  <c r="G112" i="3"/>
  <c r="H112" i="3"/>
  <c r="D113" i="3"/>
  <c r="E113" i="3"/>
  <c r="F113" i="3"/>
  <c r="G113" i="3"/>
  <c r="H113" i="3"/>
  <c r="D114" i="3"/>
  <c r="E114" i="3"/>
  <c r="F114" i="3"/>
  <c r="G114" i="3"/>
  <c r="H114" i="3"/>
  <c r="D115" i="3"/>
  <c r="E115" i="3"/>
  <c r="F115" i="3"/>
  <c r="G115" i="3"/>
  <c r="H115" i="3"/>
  <c r="D116" i="3"/>
  <c r="E116" i="3"/>
  <c r="F116" i="3"/>
  <c r="G116" i="3"/>
  <c r="H116" i="3"/>
  <c r="D117" i="3"/>
  <c r="E117" i="3"/>
  <c r="F117" i="3"/>
  <c r="G117" i="3"/>
  <c r="H117" i="3"/>
  <c r="D118" i="3"/>
  <c r="E118" i="3"/>
  <c r="F118" i="3"/>
  <c r="G118" i="3"/>
  <c r="H118" i="3"/>
  <c r="D119" i="3"/>
  <c r="E119" i="3"/>
  <c r="F119" i="3"/>
  <c r="G119" i="3"/>
  <c r="H119" i="3"/>
  <c r="D120" i="3"/>
  <c r="E120" i="3"/>
  <c r="F120" i="3"/>
  <c r="G120" i="3"/>
  <c r="H120" i="3"/>
  <c r="D121" i="3"/>
  <c r="E121" i="3"/>
  <c r="F121" i="3"/>
  <c r="G121" i="3"/>
  <c r="H121" i="3"/>
  <c r="D122" i="3"/>
  <c r="E122" i="3"/>
  <c r="F122" i="3"/>
  <c r="G122" i="3"/>
  <c r="H122" i="3"/>
  <c r="D123" i="3"/>
  <c r="E123" i="3"/>
  <c r="F123" i="3"/>
  <c r="G123" i="3"/>
  <c r="H123" i="3"/>
  <c r="D124" i="3"/>
  <c r="E124" i="3"/>
  <c r="F124" i="3"/>
  <c r="G124" i="3"/>
  <c r="H124" i="3"/>
  <c r="D125" i="3"/>
  <c r="E125" i="3"/>
  <c r="F125" i="3"/>
  <c r="G125" i="3"/>
  <c r="H125" i="3"/>
  <c r="D126" i="3"/>
  <c r="E126" i="3"/>
  <c r="F126" i="3"/>
  <c r="G126" i="3"/>
  <c r="H126" i="3"/>
  <c r="D127" i="3"/>
  <c r="E127" i="3"/>
  <c r="F127" i="3"/>
  <c r="G127" i="3"/>
  <c r="H127" i="3"/>
  <c r="D128" i="3"/>
  <c r="E128" i="3"/>
  <c r="F128" i="3"/>
  <c r="G128" i="3"/>
  <c r="H128" i="3"/>
  <c r="D129" i="3"/>
  <c r="E129" i="3"/>
  <c r="F129" i="3"/>
  <c r="G129" i="3"/>
  <c r="H129" i="3"/>
  <c r="D130" i="3"/>
  <c r="E130" i="3"/>
  <c r="F130" i="3"/>
  <c r="G130" i="3"/>
  <c r="H130" i="3"/>
  <c r="D131" i="3"/>
  <c r="E131" i="3"/>
  <c r="F131" i="3"/>
  <c r="G131" i="3"/>
  <c r="H131" i="3"/>
  <c r="D132" i="3"/>
  <c r="E132" i="3"/>
  <c r="F132" i="3"/>
  <c r="G132" i="3"/>
  <c r="H132" i="3"/>
  <c r="D133" i="3"/>
  <c r="E133" i="3"/>
  <c r="F133" i="3"/>
  <c r="G133" i="3"/>
  <c r="H133" i="3"/>
  <c r="D134" i="3"/>
  <c r="E134" i="3"/>
  <c r="F134" i="3"/>
  <c r="G134" i="3"/>
  <c r="H134" i="3"/>
  <c r="N24" i="3"/>
  <c r="R51" i="1"/>
  <c r="R57" i="1"/>
  <c r="K24" i="3"/>
  <c r="R48" i="1"/>
  <c r="R56" i="1"/>
  <c r="I18" i="1"/>
  <c r="J18" i="1"/>
  <c r="K18" i="1"/>
  <c r="L18" i="1"/>
  <c r="M18" i="1"/>
  <c r="N18" i="1"/>
  <c r="O18" i="1"/>
  <c r="P18" i="1"/>
  <c r="Q18" i="1"/>
  <c r="R18" i="1"/>
  <c r="I24" i="1"/>
  <c r="J24" i="1"/>
  <c r="K24" i="1"/>
  <c r="L24" i="1"/>
  <c r="M24" i="1"/>
  <c r="N24" i="1"/>
  <c r="O24" i="1"/>
  <c r="P24" i="1"/>
  <c r="Q24" i="1"/>
  <c r="R24" i="1"/>
  <c r="R25" i="1"/>
  <c r="R26" i="1"/>
  <c r="R34" i="1"/>
  <c r="R65" i="1"/>
  <c r="K15" i="3"/>
  <c r="I48" i="1"/>
  <c r="I56" i="1"/>
  <c r="I25" i="1"/>
  <c r="I26" i="1"/>
  <c r="I34" i="1"/>
  <c r="I65" i="1"/>
  <c r="I67" i="1"/>
  <c r="K16" i="3"/>
  <c r="J48" i="1"/>
  <c r="J56" i="1"/>
  <c r="J25" i="1"/>
  <c r="J26" i="1"/>
  <c r="J34" i="1"/>
  <c r="J65" i="1"/>
  <c r="J67" i="1"/>
  <c r="K17" i="3"/>
  <c r="K48" i="1"/>
  <c r="K56" i="1"/>
  <c r="K25" i="1"/>
  <c r="K26" i="1"/>
  <c r="K30" i="1"/>
  <c r="K33" i="1"/>
  <c r="K34" i="1"/>
  <c r="K65" i="1"/>
  <c r="K67" i="1"/>
  <c r="K18" i="3"/>
  <c r="L48" i="1"/>
  <c r="L56" i="1"/>
  <c r="L25" i="1"/>
  <c r="L26" i="1"/>
  <c r="L34" i="1"/>
  <c r="L65" i="1"/>
  <c r="L67" i="1"/>
  <c r="K19" i="3"/>
  <c r="M48" i="1"/>
  <c r="M56" i="1"/>
  <c r="M25" i="1"/>
  <c r="M26" i="1"/>
  <c r="M34" i="1"/>
  <c r="M65" i="1"/>
  <c r="M67" i="1"/>
  <c r="K20" i="3"/>
  <c r="N48" i="1"/>
  <c r="N56" i="1"/>
  <c r="N25" i="1"/>
  <c r="N26" i="1"/>
  <c r="N34" i="1"/>
  <c r="N65" i="1"/>
  <c r="N67" i="1"/>
  <c r="K21" i="3"/>
  <c r="O48" i="1"/>
  <c r="O56" i="1"/>
  <c r="O25" i="1"/>
  <c r="O26" i="1"/>
  <c r="O34" i="1"/>
  <c r="O65" i="1"/>
  <c r="O67" i="1"/>
  <c r="K22" i="3"/>
  <c r="P48" i="1"/>
  <c r="P56" i="1"/>
  <c r="P25" i="1"/>
  <c r="P26" i="1"/>
  <c r="P30" i="1"/>
  <c r="P33" i="1"/>
  <c r="P34" i="1"/>
  <c r="P65" i="1"/>
  <c r="P67" i="1"/>
  <c r="K23" i="3"/>
  <c r="Q48" i="1"/>
  <c r="Q56" i="1"/>
  <c r="Q25" i="1"/>
  <c r="Q26" i="1"/>
  <c r="Q34" i="1"/>
  <c r="Q65" i="1"/>
  <c r="Q67" i="1"/>
  <c r="H64" i="1"/>
  <c r="H67" i="1"/>
  <c r="I20" i="1"/>
  <c r="I21" i="1"/>
  <c r="I16" i="1"/>
  <c r="I23" i="1"/>
  <c r="J16" i="1"/>
  <c r="J23" i="1"/>
  <c r="J21" i="1"/>
  <c r="K21" i="1"/>
  <c r="L21" i="1"/>
  <c r="M21" i="1"/>
  <c r="N21" i="1"/>
  <c r="O21" i="1"/>
  <c r="P21" i="1"/>
  <c r="Q21" i="1"/>
  <c r="R21" i="1"/>
  <c r="J20" i="1"/>
  <c r="K20" i="1"/>
  <c r="L20" i="1"/>
  <c r="M20" i="1"/>
  <c r="N20" i="1"/>
  <c r="O20" i="1"/>
  <c r="P20" i="1"/>
  <c r="Q20" i="1"/>
  <c r="R20" i="1"/>
  <c r="K19" i="1"/>
  <c r="L19" i="1"/>
  <c r="M19" i="1"/>
  <c r="N19" i="1"/>
  <c r="O19" i="1"/>
  <c r="P19" i="1"/>
  <c r="Q19" i="1"/>
  <c r="R19" i="1"/>
  <c r="J19" i="1"/>
  <c r="I19" i="1"/>
  <c r="K12" i="1"/>
  <c r="L12" i="1"/>
  <c r="M12" i="1"/>
  <c r="N12" i="1"/>
  <c r="O12" i="1"/>
  <c r="P12" i="1"/>
  <c r="Q12" i="1"/>
  <c r="R12" i="1"/>
  <c r="J12" i="1"/>
  <c r="I8" i="1"/>
  <c r="I12" i="1"/>
  <c r="J8" i="1"/>
  <c r="K8" i="1"/>
  <c r="L8" i="1"/>
  <c r="M8" i="1"/>
  <c r="N8" i="1"/>
  <c r="O8" i="1"/>
  <c r="P8" i="1"/>
  <c r="Q8" i="1"/>
  <c r="R8" i="1"/>
  <c r="I10" i="1"/>
  <c r="I13" i="1"/>
  <c r="I83" i="1"/>
  <c r="J10" i="1"/>
  <c r="J13" i="1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J84" i="1"/>
  <c r="K10" i="1"/>
  <c r="K13" i="1"/>
  <c r="K16" i="1"/>
  <c r="K23" i="1"/>
  <c r="K84" i="1"/>
  <c r="L10" i="1"/>
  <c r="L13" i="1"/>
  <c r="L16" i="1"/>
  <c r="L23" i="1"/>
  <c r="L84" i="1"/>
  <c r="M10" i="1"/>
  <c r="M13" i="1"/>
  <c r="M16" i="1"/>
  <c r="M23" i="1"/>
  <c r="M84" i="1"/>
  <c r="N10" i="1"/>
  <c r="N13" i="1"/>
  <c r="N16" i="1"/>
  <c r="N23" i="1"/>
  <c r="N84" i="1"/>
  <c r="O10" i="1"/>
  <c r="O13" i="1"/>
  <c r="O16" i="1"/>
  <c r="O23" i="1"/>
  <c r="O84" i="1"/>
  <c r="P10" i="1"/>
  <c r="P13" i="1"/>
  <c r="P16" i="1"/>
  <c r="P23" i="1"/>
  <c r="P84" i="1"/>
  <c r="Q10" i="1"/>
  <c r="Q13" i="1"/>
  <c r="Q16" i="1"/>
  <c r="Q23" i="1"/>
  <c r="Q84" i="1"/>
  <c r="R10" i="1"/>
  <c r="R13" i="1"/>
  <c r="R16" i="1"/>
  <c r="R23" i="1"/>
  <c r="R84" i="1"/>
  <c r="I84" i="1"/>
  <c r="J30" i="1"/>
  <c r="J33" i="1"/>
  <c r="J80" i="1"/>
  <c r="K80" i="1"/>
  <c r="L30" i="1"/>
  <c r="L33" i="1"/>
  <c r="L80" i="1"/>
  <c r="M30" i="1"/>
  <c r="M33" i="1"/>
  <c r="M80" i="1"/>
  <c r="N30" i="1"/>
  <c r="N33" i="1"/>
  <c r="N80" i="1"/>
  <c r="O30" i="1"/>
  <c r="O33" i="1"/>
  <c r="O80" i="1"/>
  <c r="P80" i="1"/>
  <c r="Q30" i="1"/>
  <c r="Q33" i="1"/>
  <c r="Q80" i="1"/>
  <c r="R30" i="1"/>
  <c r="R33" i="1"/>
  <c r="C17" i="1"/>
  <c r="C19" i="1"/>
  <c r="R80" i="1"/>
  <c r="I30" i="1"/>
  <c r="I33" i="1"/>
  <c r="I80" i="1"/>
  <c r="J79" i="1"/>
  <c r="K79" i="1"/>
  <c r="L79" i="1"/>
  <c r="M79" i="1"/>
  <c r="N79" i="1"/>
  <c r="O79" i="1"/>
  <c r="P79" i="1"/>
  <c r="Q79" i="1"/>
  <c r="R79" i="1"/>
  <c r="I79" i="1"/>
  <c r="H69" i="1"/>
  <c r="I75" i="1"/>
  <c r="H38" i="1"/>
  <c r="H41" i="1"/>
  <c r="I39" i="1"/>
  <c r="I41" i="1"/>
  <c r="J39" i="1"/>
  <c r="J41" i="1"/>
  <c r="K39" i="1"/>
  <c r="K41" i="1"/>
  <c r="L39" i="1"/>
  <c r="L41" i="1"/>
  <c r="M39" i="1"/>
  <c r="M41" i="1"/>
  <c r="N39" i="1"/>
  <c r="N41" i="1"/>
  <c r="O39" i="1"/>
  <c r="O41" i="1"/>
  <c r="P39" i="1"/>
  <c r="P41" i="1"/>
  <c r="Q39" i="1"/>
  <c r="Q41" i="1"/>
  <c r="R39" i="1"/>
  <c r="R41" i="1"/>
  <c r="H43" i="1"/>
  <c r="I74" i="1"/>
  <c r="I58" i="1"/>
  <c r="J58" i="1"/>
  <c r="K58" i="1"/>
  <c r="L58" i="1"/>
  <c r="M58" i="1"/>
  <c r="N58" i="1"/>
  <c r="O58" i="1"/>
  <c r="P58" i="1"/>
  <c r="Q58" i="1"/>
  <c r="R58" i="1"/>
  <c r="H58" i="1"/>
  <c r="H60" i="1"/>
  <c r="D135" i="3"/>
  <c r="F135" i="3"/>
  <c r="G135" i="3"/>
  <c r="H135" i="3"/>
  <c r="D136" i="3"/>
  <c r="F136" i="3"/>
  <c r="G136" i="3"/>
  <c r="H136" i="3"/>
  <c r="D137" i="3"/>
  <c r="F137" i="3"/>
  <c r="G137" i="3"/>
  <c r="H137" i="3"/>
  <c r="D138" i="3"/>
  <c r="F138" i="3"/>
  <c r="G138" i="3"/>
  <c r="H138" i="3"/>
  <c r="D139" i="3"/>
  <c r="F139" i="3"/>
  <c r="G139" i="3"/>
  <c r="H139" i="3"/>
  <c r="D140" i="3"/>
  <c r="F140" i="3"/>
  <c r="G140" i="3"/>
  <c r="H140" i="3"/>
  <c r="D141" i="3"/>
  <c r="F141" i="3"/>
  <c r="G141" i="3"/>
  <c r="H141" i="3"/>
  <c r="D142" i="3"/>
  <c r="F142" i="3"/>
  <c r="G142" i="3"/>
  <c r="H142" i="3"/>
  <c r="D143" i="3"/>
  <c r="F143" i="3"/>
  <c r="G143" i="3"/>
  <c r="H143" i="3"/>
  <c r="D144" i="3"/>
  <c r="F144" i="3"/>
  <c r="G144" i="3"/>
  <c r="H144" i="3"/>
  <c r="D145" i="3"/>
  <c r="F145" i="3"/>
  <c r="G145" i="3"/>
  <c r="H145" i="3"/>
  <c r="D146" i="3"/>
  <c r="F146" i="3"/>
  <c r="G146" i="3"/>
  <c r="H146" i="3"/>
  <c r="D147" i="3"/>
  <c r="F147" i="3"/>
  <c r="G147" i="3"/>
  <c r="H147" i="3"/>
  <c r="D148" i="3"/>
  <c r="F148" i="3"/>
  <c r="G148" i="3"/>
  <c r="H148" i="3"/>
  <c r="D149" i="3"/>
  <c r="F149" i="3"/>
  <c r="G149" i="3"/>
  <c r="H149" i="3"/>
  <c r="D150" i="3"/>
  <c r="F150" i="3"/>
  <c r="G150" i="3"/>
  <c r="H150" i="3"/>
  <c r="D151" i="3"/>
  <c r="F151" i="3"/>
  <c r="G151" i="3"/>
  <c r="H151" i="3"/>
  <c r="D152" i="3"/>
  <c r="F152" i="3"/>
  <c r="G152" i="3"/>
  <c r="H152" i="3"/>
  <c r="D153" i="3"/>
  <c r="F153" i="3"/>
  <c r="G153" i="3"/>
  <c r="H153" i="3"/>
  <c r="D154" i="3"/>
  <c r="F154" i="3"/>
  <c r="G154" i="3"/>
  <c r="H154" i="3"/>
  <c r="D155" i="3"/>
  <c r="F155" i="3"/>
  <c r="G155" i="3"/>
  <c r="H155" i="3"/>
  <c r="D156" i="3"/>
  <c r="F156" i="3"/>
  <c r="G156" i="3"/>
  <c r="H156" i="3"/>
  <c r="D157" i="3"/>
  <c r="F157" i="3"/>
  <c r="G157" i="3"/>
  <c r="H157" i="3"/>
  <c r="D158" i="3"/>
  <c r="F158" i="3"/>
  <c r="G158" i="3"/>
  <c r="H158" i="3"/>
  <c r="D159" i="3"/>
  <c r="F159" i="3"/>
  <c r="G159" i="3"/>
  <c r="H159" i="3"/>
  <c r="D160" i="3"/>
  <c r="F160" i="3"/>
  <c r="G160" i="3"/>
  <c r="H160" i="3"/>
  <c r="D161" i="3"/>
  <c r="F161" i="3"/>
  <c r="G161" i="3"/>
  <c r="H161" i="3"/>
  <c r="D162" i="3"/>
  <c r="F162" i="3"/>
  <c r="G162" i="3"/>
  <c r="H162" i="3"/>
  <c r="D163" i="3"/>
  <c r="F163" i="3"/>
  <c r="G163" i="3"/>
  <c r="H163" i="3"/>
  <c r="D164" i="3"/>
  <c r="F164" i="3"/>
  <c r="G164" i="3"/>
  <c r="H164" i="3"/>
  <c r="D165" i="3"/>
  <c r="F165" i="3"/>
  <c r="G165" i="3"/>
  <c r="H165" i="3"/>
  <c r="D166" i="3"/>
  <c r="F166" i="3"/>
  <c r="G166" i="3"/>
  <c r="H166" i="3"/>
  <c r="D167" i="3"/>
  <c r="F167" i="3"/>
  <c r="G167" i="3"/>
  <c r="H167" i="3"/>
  <c r="D168" i="3"/>
  <c r="F168" i="3"/>
  <c r="G168" i="3"/>
  <c r="H168" i="3"/>
  <c r="D169" i="3"/>
  <c r="F169" i="3"/>
  <c r="G169" i="3"/>
  <c r="H169" i="3"/>
  <c r="D170" i="3"/>
  <c r="F170" i="3"/>
  <c r="G170" i="3"/>
  <c r="H170" i="3"/>
  <c r="D171" i="3"/>
  <c r="F171" i="3"/>
  <c r="G171" i="3"/>
  <c r="H171" i="3"/>
  <c r="D172" i="3"/>
  <c r="F172" i="3"/>
  <c r="G172" i="3"/>
  <c r="H172" i="3"/>
  <c r="D173" i="3"/>
  <c r="F173" i="3"/>
  <c r="G173" i="3"/>
  <c r="H173" i="3"/>
  <c r="D174" i="3"/>
  <c r="F174" i="3"/>
  <c r="G174" i="3"/>
  <c r="H174" i="3"/>
  <c r="D175" i="3"/>
  <c r="F175" i="3"/>
  <c r="G175" i="3"/>
  <c r="H175" i="3"/>
  <c r="D176" i="3"/>
  <c r="F176" i="3"/>
  <c r="G176" i="3"/>
  <c r="H176" i="3"/>
  <c r="D177" i="3"/>
  <c r="F177" i="3"/>
  <c r="G177" i="3"/>
  <c r="H177" i="3"/>
  <c r="D178" i="3"/>
  <c r="F178" i="3"/>
  <c r="G178" i="3"/>
  <c r="H178" i="3"/>
  <c r="D179" i="3"/>
  <c r="F179" i="3"/>
  <c r="G179" i="3"/>
  <c r="H179" i="3"/>
  <c r="D180" i="3"/>
  <c r="F180" i="3"/>
  <c r="G180" i="3"/>
  <c r="H180" i="3"/>
  <c r="D181" i="3"/>
  <c r="F181" i="3"/>
  <c r="G181" i="3"/>
  <c r="H181" i="3"/>
  <c r="D182" i="3"/>
  <c r="F182" i="3"/>
  <c r="G182" i="3"/>
  <c r="H182" i="3"/>
  <c r="D183" i="3"/>
  <c r="F183" i="3"/>
  <c r="G183" i="3"/>
  <c r="H183" i="3"/>
  <c r="D184" i="3"/>
  <c r="F184" i="3"/>
  <c r="G184" i="3"/>
  <c r="H184" i="3"/>
  <c r="D185" i="3"/>
  <c r="F185" i="3"/>
  <c r="G185" i="3"/>
  <c r="H185" i="3"/>
  <c r="D186" i="3"/>
  <c r="F186" i="3"/>
  <c r="G186" i="3"/>
  <c r="H186" i="3"/>
  <c r="D187" i="3"/>
  <c r="F187" i="3"/>
  <c r="G187" i="3"/>
  <c r="H187" i="3"/>
  <c r="D188" i="3"/>
  <c r="F188" i="3"/>
  <c r="G188" i="3"/>
  <c r="H188" i="3"/>
  <c r="D189" i="3"/>
  <c r="F189" i="3"/>
  <c r="G189" i="3"/>
  <c r="H189" i="3"/>
  <c r="D190" i="3"/>
  <c r="F190" i="3"/>
  <c r="G190" i="3"/>
  <c r="H190" i="3"/>
  <c r="D191" i="3"/>
  <c r="F191" i="3"/>
  <c r="G191" i="3"/>
  <c r="H191" i="3"/>
  <c r="D192" i="3"/>
  <c r="F192" i="3"/>
  <c r="G192" i="3"/>
  <c r="H192" i="3"/>
  <c r="D193" i="3"/>
  <c r="F193" i="3"/>
  <c r="G193" i="3"/>
  <c r="H193" i="3"/>
  <c r="D194" i="3"/>
  <c r="F194" i="3"/>
  <c r="G194" i="3"/>
  <c r="H194" i="3"/>
  <c r="D195" i="3"/>
  <c r="F195" i="3"/>
  <c r="G195" i="3"/>
  <c r="H195" i="3"/>
  <c r="D196" i="3"/>
  <c r="F196" i="3"/>
  <c r="G196" i="3"/>
  <c r="H196" i="3"/>
  <c r="D197" i="3"/>
  <c r="F197" i="3"/>
  <c r="G197" i="3"/>
  <c r="H197" i="3"/>
  <c r="D198" i="3"/>
  <c r="F198" i="3"/>
  <c r="G198" i="3"/>
  <c r="H198" i="3"/>
  <c r="D199" i="3"/>
  <c r="F199" i="3"/>
  <c r="G199" i="3"/>
  <c r="H199" i="3"/>
  <c r="D200" i="3"/>
  <c r="F200" i="3"/>
  <c r="G200" i="3"/>
  <c r="H200" i="3"/>
  <c r="D201" i="3"/>
  <c r="F201" i="3"/>
  <c r="G201" i="3"/>
  <c r="H201" i="3"/>
  <c r="D202" i="3"/>
  <c r="F202" i="3"/>
  <c r="G202" i="3"/>
  <c r="H202" i="3"/>
  <c r="D203" i="3"/>
  <c r="F203" i="3"/>
  <c r="G203" i="3"/>
  <c r="H203" i="3"/>
  <c r="D204" i="3"/>
  <c r="F204" i="3"/>
  <c r="G204" i="3"/>
  <c r="H204" i="3"/>
  <c r="D205" i="3"/>
  <c r="F205" i="3"/>
  <c r="G205" i="3"/>
  <c r="H205" i="3"/>
  <c r="D206" i="3"/>
  <c r="F206" i="3"/>
  <c r="G206" i="3"/>
  <c r="H206" i="3"/>
  <c r="D207" i="3"/>
  <c r="F207" i="3"/>
  <c r="G207" i="3"/>
  <c r="H207" i="3"/>
  <c r="D208" i="3"/>
  <c r="F208" i="3"/>
  <c r="G208" i="3"/>
  <c r="H208" i="3"/>
  <c r="D209" i="3"/>
  <c r="F209" i="3"/>
  <c r="G209" i="3"/>
  <c r="H209" i="3"/>
  <c r="D210" i="3"/>
  <c r="F210" i="3"/>
  <c r="G210" i="3"/>
  <c r="H210" i="3"/>
  <c r="D211" i="3"/>
  <c r="F211" i="3"/>
  <c r="G211" i="3"/>
  <c r="H211" i="3"/>
  <c r="D212" i="3"/>
  <c r="F212" i="3"/>
  <c r="G212" i="3"/>
  <c r="H212" i="3"/>
  <c r="D213" i="3"/>
  <c r="F213" i="3"/>
  <c r="G213" i="3"/>
  <c r="H213" i="3"/>
  <c r="D214" i="3"/>
  <c r="F214" i="3"/>
  <c r="G214" i="3"/>
  <c r="H214" i="3"/>
  <c r="D215" i="3"/>
  <c r="F215" i="3"/>
  <c r="G215" i="3"/>
  <c r="H215" i="3"/>
  <c r="D216" i="3"/>
  <c r="F216" i="3"/>
  <c r="G216" i="3"/>
  <c r="H216" i="3"/>
  <c r="D217" i="3"/>
  <c r="F217" i="3"/>
  <c r="G217" i="3"/>
  <c r="H217" i="3"/>
  <c r="D218" i="3"/>
  <c r="F218" i="3"/>
  <c r="G218" i="3"/>
  <c r="H218" i="3"/>
  <c r="D219" i="3"/>
  <c r="F219" i="3"/>
  <c r="G219" i="3"/>
  <c r="H219" i="3"/>
  <c r="D220" i="3"/>
  <c r="F220" i="3"/>
  <c r="G220" i="3"/>
  <c r="H220" i="3"/>
  <c r="D221" i="3"/>
  <c r="F221" i="3"/>
  <c r="G221" i="3"/>
  <c r="H221" i="3"/>
  <c r="D222" i="3"/>
  <c r="F222" i="3"/>
  <c r="G222" i="3"/>
  <c r="H222" i="3"/>
  <c r="D223" i="3"/>
  <c r="F223" i="3"/>
  <c r="G223" i="3"/>
  <c r="H223" i="3"/>
  <c r="D224" i="3"/>
  <c r="F224" i="3"/>
  <c r="G224" i="3"/>
  <c r="H224" i="3"/>
  <c r="D225" i="3"/>
  <c r="F225" i="3"/>
  <c r="G225" i="3"/>
  <c r="H225" i="3"/>
  <c r="D226" i="3"/>
  <c r="F226" i="3"/>
  <c r="G226" i="3"/>
  <c r="H226" i="3"/>
  <c r="D227" i="3"/>
  <c r="F227" i="3"/>
  <c r="G227" i="3"/>
  <c r="H227" i="3"/>
  <c r="D228" i="3"/>
  <c r="F228" i="3"/>
  <c r="G228" i="3"/>
  <c r="H228" i="3"/>
  <c r="D229" i="3"/>
  <c r="F229" i="3"/>
  <c r="G229" i="3"/>
  <c r="H229" i="3"/>
  <c r="D230" i="3"/>
  <c r="F230" i="3"/>
  <c r="G230" i="3"/>
  <c r="H230" i="3"/>
  <c r="D231" i="3"/>
  <c r="F231" i="3"/>
  <c r="G231" i="3"/>
  <c r="H231" i="3"/>
  <c r="D232" i="3"/>
  <c r="F232" i="3"/>
  <c r="G232" i="3"/>
  <c r="H232" i="3"/>
  <c r="D233" i="3"/>
  <c r="F233" i="3"/>
  <c r="G233" i="3"/>
  <c r="H233" i="3"/>
  <c r="D234" i="3"/>
  <c r="F234" i="3"/>
  <c r="G234" i="3"/>
  <c r="H234" i="3"/>
  <c r="D235" i="3"/>
  <c r="F235" i="3"/>
  <c r="G235" i="3"/>
  <c r="H235" i="3"/>
  <c r="D236" i="3"/>
  <c r="F236" i="3"/>
  <c r="G236" i="3"/>
  <c r="H236" i="3"/>
  <c r="D237" i="3"/>
  <c r="F237" i="3"/>
  <c r="G237" i="3"/>
  <c r="H237" i="3"/>
  <c r="D238" i="3"/>
  <c r="F238" i="3"/>
  <c r="G238" i="3"/>
  <c r="H238" i="3"/>
  <c r="D239" i="3"/>
  <c r="F239" i="3"/>
  <c r="G239" i="3"/>
  <c r="H239" i="3"/>
  <c r="D240" i="3"/>
  <c r="F240" i="3"/>
  <c r="G240" i="3"/>
  <c r="H240" i="3"/>
  <c r="D241" i="3"/>
  <c r="F241" i="3"/>
  <c r="G241" i="3"/>
  <c r="H241" i="3"/>
  <c r="D242" i="3"/>
  <c r="F242" i="3"/>
  <c r="G242" i="3"/>
  <c r="H242" i="3"/>
  <c r="D243" i="3"/>
  <c r="F243" i="3"/>
  <c r="G243" i="3"/>
  <c r="H243" i="3"/>
  <c r="D244" i="3"/>
  <c r="F244" i="3"/>
  <c r="G244" i="3"/>
  <c r="H244" i="3"/>
  <c r="D245" i="3"/>
  <c r="F245" i="3"/>
  <c r="G245" i="3"/>
  <c r="H245" i="3"/>
  <c r="D246" i="3"/>
  <c r="F246" i="3"/>
  <c r="G246" i="3"/>
  <c r="H246" i="3"/>
  <c r="D247" i="3"/>
  <c r="F247" i="3"/>
  <c r="G247" i="3"/>
  <c r="H247" i="3"/>
  <c r="D248" i="3"/>
  <c r="F248" i="3"/>
  <c r="G248" i="3"/>
  <c r="H248" i="3"/>
  <c r="D249" i="3"/>
  <c r="F249" i="3"/>
  <c r="G249" i="3"/>
  <c r="H249" i="3"/>
  <c r="D250" i="3"/>
  <c r="F250" i="3"/>
  <c r="G250" i="3"/>
  <c r="H250" i="3"/>
  <c r="D251" i="3"/>
  <c r="F251" i="3"/>
  <c r="G251" i="3"/>
  <c r="H251" i="3"/>
  <c r="D252" i="3"/>
  <c r="F252" i="3"/>
  <c r="G252" i="3"/>
  <c r="H252" i="3"/>
  <c r="D253" i="3"/>
  <c r="F253" i="3"/>
  <c r="G253" i="3"/>
  <c r="H253" i="3"/>
  <c r="D254" i="3"/>
  <c r="F254" i="3"/>
  <c r="G254" i="3"/>
  <c r="H254" i="3"/>
  <c r="D255" i="3"/>
  <c r="F255" i="3"/>
  <c r="G255" i="3"/>
  <c r="H255" i="3"/>
  <c r="D256" i="3"/>
  <c r="F256" i="3"/>
  <c r="G256" i="3"/>
  <c r="H256" i="3"/>
  <c r="D257" i="3"/>
  <c r="F257" i="3"/>
  <c r="G257" i="3"/>
  <c r="H257" i="3"/>
  <c r="D258" i="3"/>
  <c r="F258" i="3"/>
  <c r="G258" i="3"/>
  <c r="H258" i="3"/>
  <c r="D259" i="3"/>
  <c r="F259" i="3"/>
  <c r="G259" i="3"/>
  <c r="H259" i="3"/>
  <c r="D260" i="3"/>
  <c r="F260" i="3"/>
  <c r="G260" i="3"/>
  <c r="H260" i="3"/>
  <c r="D261" i="3"/>
  <c r="F261" i="3"/>
  <c r="G261" i="3"/>
  <c r="H261" i="3"/>
  <c r="D262" i="3"/>
  <c r="F262" i="3"/>
  <c r="G262" i="3"/>
  <c r="H262" i="3"/>
  <c r="D263" i="3"/>
  <c r="F263" i="3"/>
  <c r="G263" i="3"/>
  <c r="H263" i="3"/>
  <c r="D264" i="3"/>
  <c r="F264" i="3"/>
  <c r="G264" i="3"/>
  <c r="H264" i="3"/>
  <c r="D265" i="3"/>
  <c r="F265" i="3"/>
  <c r="G265" i="3"/>
  <c r="H265" i="3"/>
  <c r="D266" i="3"/>
  <c r="F266" i="3"/>
  <c r="G266" i="3"/>
  <c r="H266" i="3"/>
  <c r="D267" i="3"/>
  <c r="F267" i="3"/>
  <c r="G267" i="3"/>
  <c r="H267" i="3"/>
  <c r="D268" i="3"/>
  <c r="F268" i="3"/>
  <c r="G268" i="3"/>
  <c r="H268" i="3"/>
  <c r="D269" i="3"/>
  <c r="F269" i="3"/>
  <c r="G269" i="3"/>
  <c r="H269" i="3"/>
  <c r="D270" i="3"/>
  <c r="F270" i="3"/>
  <c r="G270" i="3"/>
  <c r="H270" i="3"/>
  <c r="D271" i="3"/>
  <c r="F271" i="3"/>
  <c r="G271" i="3"/>
  <c r="H271" i="3"/>
  <c r="D272" i="3"/>
  <c r="F272" i="3"/>
  <c r="G272" i="3"/>
  <c r="H272" i="3"/>
  <c r="D273" i="3"/>
  <c r="F273" i="3"/>
  <c r="G273" i="3"/>
  <c r="H273" i="3"/>
  <c r="D274" i="3"/>
  <c r="F274" i="3"/>
  <c r="G274" i="3"/>
  <c r="H274" i="3"/>
  <c r="D275" i="3"/>
  <c r="F275" i="3"/>
  <c r="G275" i="3"/>
  <c r="H275" i="3"/>
  <c r="D276" i="3"/>
  <c r="F276" i="3"/>
  <c r="G276" i="3"/>
  <c r="H276" i="3"/>
  <c r="D277" i="3"/>
  <c r="F277" i="3"/>
  <c r="G277" i="3"/>
  <c r="H277" i="3"/>
  <c r="D278" i="3"/>
  <c r="F278" i="3"/>
  <c r="G278" i="3"/>
  <c r="H278" i="3"/>
  <c r="D279" i="3"/>
  <c r="F279" i="3"/>
  <c r="G279" i="3"/>
  <c r="H279" i="3"/>
  <c r="D280" i="3"/>
  <c r="F280" i="3"/>
  <c r="G280" i="3"/>
  <c r="H280" i="3"/>
  <c r="D281" i="3"/>
  <c r="F281" i="3"/>
  <c r="G281" i="3"/>
  <c r="H281" i="3"/>
  <c r="D282" i="3"/>
  <c r="F282" i="3"/>
  <c r="G282" i="3"/>
  <c r="H282" i="3"/>
  <c r="D283" i="3"/>
  <c r="F283" i="3"/>
  <c r="G283" i="3"/>
  <c r="H283" i="3"/>
  <c r="D284" i="3"/>
  <c r="F284" i="3"/>
  <c r="G284" i="3"/>
  <c r="H284" i="3"/>
  <c r="D285" i="3"/>
  <c r="F285" i="3"/>
  <c r="G285" i="3"/>
  <c r="H285" i="3"/>
  <c r="D286" i="3"/>
  <c r="F286" i="3"/>
  <c r="G286" i="3"/>
  <c r="H286" i="3"/>
  <c r="D287" i="3"/>
  <c r="F287" i="3"/>
  <c r="G287" i="3"/>
  <c r="H287" i="3"/>
  <c r="D288" i="3"/>
  <c r="F288" i="3"/>
  <c r="G288" i="3"/>
  <c r="H288" i="3"/>
  <c r="D289" i="3"/>
  <c r="F289" i="3"/>
  <c r="G289" i="3"/>
  <c r="H289" i="3"/>
  <c r="D290" i="3"/>
  <c r="F290" i="3"/>
  <c r="G290" i="3"/>
  <c r="H290" i="3"/>
  <c r="D291" i="3"/>
  <c r="F291" i="3"/>
  <c r="G291" i="3"/>
  <c r="H291" i="3"/>
  <c r="D292" i="3"/>
  <c r="F292" i="3"/>
  <c r="G292" i="3"/>
  <c r="H292" i="3"/>
  <c r="D293" i="3"/>
  <c r="F293" i="3"/>
  <c r="G293" i="3"/>
  <c r="H293" i="3"/>
  <c r="D294" i="3"/>
  <c r="F294" i="3"/>
  <c r="G294" i="3"/>
  <c r="H294" i="3"/>
  <c r="D295" i="3"/>
  <c r="F295" i="3"/>
  <c r="G295" i="3"/>
  <c r="H295" i="3"/>
  <c r="D296" i="3"/>
  <c r="F296" i="3"/>
  <c r="G296" i="3"/>
  <c r="H296" i="3"/>
  <c r="D297" i="3"/>
  <c r="F297" i="3"/>
  <c r="G297" i="3"/>
  <c r="H297" i="3"/>
  <c r="D298" i="3"/>
  <c r="F298" i="3"/>
  <c r="G298" i="3"/>
  <c r="H298" i="3"/>
  <c r="D299" i="3"/>
  <c r="F299" i="3"/>
  <c r="G299" i="3"/>
  <c r="H299" i="3"/>
  <c r="D300" i="3"/>
  <c r="F300" i="3"/>
  <c r="G300" i="3"/>
  <c r="H300" i="3"/>
  <c r="D301" i="3"/>
  <c r="F301" i="3"/>
  <c r="G301" i="3"/>
  <c r="H301" i="3"/>
  <c r="D302" i="3"/>
  <c r="F302" i="3"/>
  <c r="G302" i="3"/>
  <c r="H302" i="3"/>
  <c r="D303" i="3"/>
  <c r="F303" i="3"/>
  <c r="G303" i="3"/>
  <c r="H303" i="3"/>
  <c r="D304" i="3"/>
  <c r="F304" i="3"/>
  <c r="G304" i="3"/>
  <c r="H304" i="3"/>
  <c r="D305" i="3"/>
  <c r="F305" i="3"/>
  <c r="G305" i="3"/>
  <c r="H305" i="3"/>
  <c r="D306" i="3"/>
  <c r="F306" i="3"/>
  <c r="G306" i="3"/>
  <c r="H306" i="3"/>
  <c r="D307" i="3"/>
  <c r="F307" i="3"/>
  <c r="G307" i="3"/>
  <c r="H307" i="3"/>
  <c r="D308" i="3"/>
  <c r="F308" i="3"/>
  <c r="G308" i="3"/>
  <c r="H308" i="3"/>
  <c r="D309" i="3"/>
  <c r="F309" i="3"/>
  <c r="G309" i="3"/>
  <c r="H309" i="3"/>
  <c r="D310" i="3"/>
  <c r="F310" i="3"/>
  <c r="G310" i="3"/>
  <c r="H310" i="3"/>
  <c r="D311" i="3"/>
  <c r="F311" i="3"/>
  <c r="G311" i="3"/>
  <c r="H311" i="3"/>
  <c r="D312" i="3"/>
  <c r="F312" i="3"/>
  <c r="G312" i="3"/>
  <c r="H312" i="3"/>
  <c r="D313" i="3"/>
  <c r="F313" i="3"/>
  <c r="G313" i="3"/>
  <c r="H313" i="3"/>
  <c r="D314" i="3"/>
  <c r="F314" i="3"/>
  <c r="G314" i="3"/>
  <c r="H314" i="3"/>
  <c r="D315" i="3"/>
  <c r="F315" i="3"/>
  <c r="G315" i="3"/>
  <c r="H315" i="3"/>
  <c r="D316" i="3"/>
  <c r="F316" i="3"/>
  <c r="G316" i="3"/>
  <c r="H316" i="3"/>
  <c r="D317" i="3"/>
  <c r="F317" i="3"/>
  <c r="G317" i="3"/>
  <c r="H317" i="3"/>
  <c r="D318" i="3"/>
  <c r="F318" i="3"/>
  <c r="G318" i="3"/>
  <c r="H318" i="3"/>
  <c r="D319" i="3"/>
  <c r="F319" i="3"/>
  <c r="G319" i="3"/>
  <c r="H319" i="3"/>
  <c r="D320" i="3"/>
  <c r="F320" i="3"/>
  <c r="G320" i="3"/>
  <c r="H320" i="3"/>
  <c r="D321" i="3"/>
  <c r="F321" i="3"/>
  <c r="G321" i="3"/>
  <c r="H321" i="3"/>
  <c r="D322" i="3"/>
  <c r="F322" i="3"/>
  <c r="G322" i="3"/>
  <c r="H322" i="3"/>
  <c r="D323" i="3"/>
  <c r="F323" i="3"/>
  <c r="G323" i="3"/>
  <c r="H323" i="3"/>
  <c r="D324" i="3"/>
  <c r="F324" i="3"/>
  <c r="G324" i="3"/>
  <c r="H324" i="3"/>
  <c r="D325" i="3"/>
  <c r="F325" i="3"/>
  <c r="G325" i="3"/>
  <c r="H325" i="3"/>
  <c r="D326" i="3"/>
  <c r="F326" i="3"/>
  <c r="G326" i="3"/>
  <c r="H326" i="3"/>
  <c r="D327" i="3"/>
  <c r="F327" i="3"/>
  <c r="G327" i="3"/>
  <c r="H327" i="3"/>
  <c r="D328" i="3"/>
  <c r="F328" i="3"/>
  <c r="G328" i="3"/>
  <c r="H328" i="3"/>
  <c r="D329" i="3"/>
  <c r="F329" i="3"/>
  <c r="G329" i="3"/>
  <c r="H329" i="3"/>
  <c r="D330" i="3"/>
  <c r="F330" i="3"/>
  <c r="G330" i="3"/>
  <c r="H330" i="3"/>
  <c r="D331" i="3"/>
  <c r="F331" i="3"/>
  <c r="G331" i="3"/>
  <c r="H331" i="3"/>
  <c r="D332" i="3"/>
  <c r="F332" i="3"/>
  <c r="G332" i="3"/>
  <c r="H332" i="3"/>
  <c r="D333" i="3"/>
  <c r="F333" i="3"/>
  <c r="G333" i="3"/>
  <c r="H333" i="3"/>
  <c r="D334" i="3"/>
  <c r="F334" i="3"/>
  <c r="G334" i="3"/>
  <c r="H334" i="3"/>
  <c r="D335" i="3"/>
  <c r="F335" i="3"/>
  <c r="G335" i="3"/>
  <c r="H335" i="3"/>
  <c r="D336" i="3"/>
  <c r="F336" i="3"/>
  <c r="G336" i="3"/>
  <c r="H336" i="3"/>
  <c r="D337" i="3"/>
  <c r="F337" i="3"/>
  <c r="G337" i="3"/>
  <c r="H337" i="3"/>
  <c r="D338" i="3"/>
  <c r="F338" i="3"/>
  <c r="G338" i="3"/>
  <c r="H338" i="3"/>
  <c r="D339" i="3"/>
  <c r="F339" i="3"/>
  <c r="G339" i="3"/>
  <c r="H339" i="3"/>
  <c r="D340" i="3"/>
  <c r="F340" i="3"/>
  <c r="G340" i="3"/>
  <c r="H340" i="3"/>
  <c r="D341" i="3"/>
  <c r="F341" i="3"/>
  <c r="G341" i="3"/>
  <c r="H341" i="3"/>
  <c r="D342" i="3"/>
  <c r="F342" i="3"/>
  <c r="G342" i="3"/>
  <c r="H342" i="3"/>
  <c r="D343" i="3"/>
  <c r="F343" i="3"/>
  <c r="G343" i="3"/>
  <c r="H343" i="3"/>
  <c r="D344" i="3"/>
  <c r="F344" i="3"/>
  <c r="G344" i="3"/>
  <c r="H344" i="3"/>
  <c r="D345" i="3"/>
  <c r="F345" i="3"/>
  <c r="G345" i="3"/>
  <c r="H345" i="3"/>
  <c r="D346" i="3"/>
  <c r="F346" i="3"/>
  <c r="G346" i="3"/>
  <c r="H346" i="3"/>
  <c r="D347" i="3"/>
  <c r="F347" i="3"/>
  <c r="G347" i="3"/>
  <c r="H347" i="3"/>
  <c r="D348" i="3"/>
  <c r="F348" i="3"/>
  <c r="G348" i="3"/>
  <c r="H348" i="3"/>
  <c r="D349" i="3"/>
  <c r="F349" i="3"/>
  <c r="G349" i="3"/>
  <c r="H349" i="3"/>
  <c r="D350" i="3"/>
  <c r="F350" i="3"/>
  <c r="G350" i="3"/>
  <c r="H350" i="3"/>
  <c r="D351" i="3"/>
  <c r="F351" i="3"/>
  <c r="G351" i="3"/>
  <c r="H351" i="3"/>
  <c r="D352" i="3"/>
  <c r="F352" i="3"/>
  <c r="G352" i="3"/>
  <c r="H352" i="3"/>
  <c r="D353" i="3"/>
  <c r="F353" i="3"/>
  <c r="G353" i="3"/>
  <c r="H353" i="3"/>
  <c r="D354" i="3"/>
  <c r="F354" i="3"/>
  <c r="G354" i="3"/>
  <c r="H354" i="3"/>
  <c r="D355" i="3"/>
  <c r="F355" i="3"/>
  <c r="G355" i="3"/>
  <c r="H355" i="3"/>
  <c r="D356" i="3"/>
  <c r="F356" i="3"/>
  <c r="G356" i="3"/>
  <c r="H356" i="3"/>
  <c r="D357" i="3"/>
  <c r="F357" i="3"/>
  <c r="G357" i="3"/>
  <c r="H357" i="3"/>
  <c r="D358" i="3"/>
  <c r="F358" i="3"/>
  <c r="G358" i="3"/>
  <c r="H358" i="3"/>
  <c r="D359" i="3"/>
  <c r="F359" i="3"/>
  <c r="G359" i="3"/>
  <c r="H359" i="3"/>
  <c r="D360" i="3"/>
  <c r="F360" i="3"/>
  <c r="G360" i="3"/>
  <c r="H360" i="3"/>
  <c r="D361" i="3"/>
  <c r="F361" i="3"/>
  <c r="G361" i="3"/>
  <c r="H361" i="3"/>
  <c r="D362" i="3"/>
  <c r="F362" i="3"/>
  <c r="G362" i="3"/>
  <c r="H362" i="3"/>
  <c r="D363" i="3"/>
  <c r="F363" i="3"/>
  <c r="G363" i="3"/>
  <c r="H363" i="3"/>
  <c r="D364" i="3"/>
  <c r="F364" i="3"/>
  <c r="G364" i="3"/>
  <c r="H364" i="3"/>
  <c r="D365" i="3"/>
  <c r="F365" i="3"/>
  <c r="G365" i="3"/>
  <c r="H365" i="3"/>
  <c r="D366" i="3"/>
  <c r="F366" i="3"/>
  <c r="G366" i="3"/>
  <c r="H366" i="3"/>
  <c r="D367" i="3"/>
  <c r="F367" i="3"/>
  <c r="G367" i="3"/>
  <c r="H367" i="3"/>
  <c r="D368" i="3"/>
  <c r="F368" i="3"/>
  <c r="G368" i="3"/>
  <c r="H368" i="3"/>
  <c r="D369" i="3"/>
  <c r="F369" i="3"/>
  <c r="G369" i="3"/>
  <c r="H369" i="3"/>
  <c r="D370" i="3"/>
  <c r="F370" i="3"/>
  <c r="G370" i="3"/>
  <c r="H370" i="3"/>
  <c r="D371" i="3"/>
  <c r="F371" i="3"/>
  <c r="G371" i="3"/>
  <c r="H371" i="3"/>
  <c r="D372" i="3"/>
  <c r="F372" i="3"/>
  <c r="G372" i="3"/>
  <c r="H372" i="3"/>
  <c r="D373" i="3"/>
  <c r="F373" i="3"/>
  <c r="G373" i="3"/>
  <c r="H373" i="3"/>
  <c r="D374" i="3"/>
  <c r="F374" i="3"/>
  <c r="G374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I32" i="1"/>
  <c r="J32" i="1"/>
  <c r="J16" i="3"/>
  <c r="J2" i="1"/>
  <c r="K32" i="1"/>
  <c r="J17" i="3"/>
  <c r="K2" i="1"/>
  <c r="L32" i="1"/>
  <c r="J18" i="3"/>
  <c r="L2" i="1"/>
  <c r="M32" i="1"/>
  <c r="J19" i="3"/>
  <c r="M2" i="1"/>
  <c r="N32" i="1"/>
  <c r="J20" i="3"/>
  <c r="N2" i="1"/>
  <c r="O32" i="1"/>
  <c r="J21" i="3"/>
  <c r="O2" i="1"/>
  <c r="P32" i="1"/>
  <c r="J22" i="3"/>
  <c r="P2" i="1"/>
  <c r="Q32" i="1"/>
  <c r="J23" i="3"/>
  <c r="Q2" i="1"/>
  <c r="R32" i="1"/>
  <c r="J24" i="3"/>
  <c r="R2" i="1"/>
  <c r="P24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H374" i="3"/>
  <c r="R47" i="1"/>
  <c r="Q47" i="1"/>
  <c r="P47" i="1"/>
  <c r="O47" i="1"/>
  <c r="N47" i="1"/>
  <c r="M47" i="1"/>
  <c r="L47" i="1"/>
  <c r="K47" i="1"/>
  <c r="J47" i="1"/>
  <c r="I47" i="1"/>
  <c r="P23" i="3"/>
  <c r="N23" i="3"/>
  <c r="Q51" i="1"/>
  <c r="P22" i="3"/>
  <c r="N22" i="3"/>
  <c r="P51" i="1"/>
  <c r="P21" i="3"/>
  <c r="N21" i="3"/>
  <c r="O51" i="1"/>
  <c r="P20" i="3"/>
  <c r="N20" i="3"/>
  <c r="N51" i="1"/>
  <c r="P19" i="3"/>
  <c r="N19" i="3"/>
  <c r="M51" i="1"/>
  <c r="P18" i="3"/>
  <c r="N18" i="3"/>
  <c r="L51" i="1"/>
  <c r="P17" i="3"/>
  <c r="N17" i="3"/>
  <c r="K51" i="1"/>
  <c r="P16" i="3"/>
  <c r="N16" i="3"/>
  <c r="J51" i="1"/>
  <c r="M24" i="3"/>
  <c r="R50" i="1"/>
  <c r="M23" i="3"/>
  <c r="Q50" i="1"/>
  <c r="M22" i="3"/>
  <c r="P50" i="1"/>
  <c r="M21" i="3"/>
  <c r="O50" i="1"/>
  <c r="M20" i="3"/>
  <c r="N50" i="1"/>
  <c r="M19" i="3"/>
  <c r="M50" i="1"/>
  <c r="M18" i="3"/>
  <c r="L50" i="1"/>
  <c r="M17" i="3"/>
  <c r="K50" i="1"/>
  <c r="M16" i="3"/>
  <c r="J50" i="1"/>
  <c r="L24" i="3"/>
  <c r="R49" i="1"/>
  <c r="L23" i="3"/>
  <c r="Q49" i="1"/>
  <c r="L22" i="3"/>
  <c r="P49" i="1"/>
  <c r="L21" i="3"/>
  <c r="O49" i="1"/>
  <c r="L20" i="3"/>
  <c r="N49" i="1"/>
  <c r="L19" i="3"/>
  <c r="M49" i="1"/>
  <c r="L18" i="3"/>
  <c r="L49" i="1"/>
  <c r="L17" i="3"/>
  <c r="K49" i="1"/>
  <c r="L16" i="3"/>
  <c r="J49" i="1"/>
  <c r="P15" i="3"/>
  <c r="N15" i="3"/>
  <c r="I51" i="1"/>
  <c r="M15" i="3"/>
  <c r="I50" i="1"/>
  <c r="L15" i="3"/>
  <c r="I49" i="1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P44" i="3"/>
  <c r="N44" i="3"/>
  <c r="P43" i="3"/>
  <c r="N43" i="3"/>
  <c r="P42" i="3"/>
  <c r="N42" i="3"/>
  <c r="P41" i="3"/>
  <c r="N41" i="3"/>
  <c r="P40" i="3"/>
  <c r="N40" i="3"/>
  <c r="P39" i="3"/>
  <c r="N39" i="3"/>
  <c r="P38" i="3"/>
  <c r="N38" i="3"/>
  <c r="P37" i="3"/>
  <c r="N37" i="3"/>
  <c r="P36" i="3"/>
  <c r="N36" i="3"/>
  <c r="P35" i="3"/>
  <c r="N35" i="3"/>
  <c r="P34" i="3"/>
  <c r="N34" i="3"/>
  <c r="P33" i="3"/>
  <c r="N33" i="3"/>
  <c r="P32" i="3"/>
  <c r="N32" i="3"/>
  <c r="P31" i="3"/>
  <c r="N31" i="3"/>
  <c r="P30" i="3"/>
  <c r="N30" i="3"/>
  <c r="P29" i="3"/>
  <c r="N29" i="3"/>
  <c r="P28" i="3"/>
  <c r="N28" i="3"/>
  <c r="P27" i="3"/>
  <c r="N27" i="3"/>
  <c r="P26" i="3"/>
  <c r="N26" i="3"/>
  <c r="P25" i="3"/>
  <c r="N2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D8" i="3"/>
  <c r="D6" i="3"/>
  <c r="S2" i="1"/>
</calcChain>
</file>

<file path=xl/sharedStrings.xml><?xml version="1.0" encoding="utf-8"?>
<sst xmlns="http://schemas.openxmlformats.org/spreadsheetml/2006/main" count="127" uniqueCount="105">
  <si>
    <t>Rental Revenue:</t>
  </si>
  <si>
    <t xml:space="preserve">  Potential Base Rent</t>
  </si>
  <si>
    <t xml:space="preserve">  Absorp. &amp; Turnover Vacancy</t>
  </si>
  <si>
    <t>Other Tenant Revenue:</t>
  </si>
  <si>
    <t xml:space="preserve">  Total Expense Recoveries</t>
  </si>
  <si>
    <t>Potential Gross Revenue</t>
  </si>
  <si>
    <t>Vacancy &amp; Credit Loss:</t>
  </si>
  <si>
    <t xml:space="preserve">  Vacancy Allowance</t>
  </si>
  <si>
    <t>Effective Gross Revenue</t>
  </si>
  <si>
    <t>Operating Expenses:</t>
  </si>
  <si>
    <t xml:space="preserve">  Property taxes</t>
  </si>
  <si>
    <t xml:space="preserve">  Utilities</t>
  </si>
  <si>
    <t xml:space="preserve">  Cleaning</t>
  </si>
  <si>
    <t xml:space="preserve">  Repairs and Maintenance</t>
  </si>
  <si>
    <t>Total Operating Expenses</t>
  </si>
  <si>
    <t>Net Operating Income</t>
  </si>
  <si>
    <t>Leasing Costs:</t>
  </si>
  <si>
    <t xml:space="preserve">  Tenant Improvements</t>
  </si>
  <si>
    <t xml:space="preserve">  Leasing Commissions</t>
  </si>
  <si>
    <t xml:space="preserve">  Total Leasing Costs</t>
  </si>
  <si>
    <t>Capital Expenditures:</t>
  </si>
  <si>
    <t xml:space="preserve">  Capital Reserve</t>
  </si>
  <si>
    <t>Total Leasing &amp; Capital Costs</t>
  </si>
  <si>
    <t xml:space="preserve"> -   </t>
  </si>
  <si>
    <t>Net Operating Income (Y11)</t>
  </si>
  <si>
    <t>Occupancy Gross-up Adj.</t>
  </si>
  <si>
    <t>NOI To Capitalize</t>
  </si>
  <si>
    <t>Exit Cap Rate</t>
  </si>
  <si>
    <t>Adjusted Gross Sale Price</t>
  </si>
  <si>
    <t>Selling Costs (1% of price)</t>
  </si>
  <si>
    <t>Net Sales Proceeds</t>
  </si>
  <si>
    <t>of EGR</t>
  </si>
  <si>
    <t>growth</t>
  </si>
  <si>
    <t>/sf</t>
  </si>
  <si>
    <t>Reversion</t>
  </si>
  <si>
    <t>Scheduled Base Rent</t>
  </si>
  <si>
    <t>Purchase Price</t>
  </si>
  <si>
    <t>Unlevered IRR</t>
  </si>
  <si>
    <t>Total Cash Flow</t>
  </si>
  <si>
    <t>CF Before Debt Service</t>
  </si>
  <si>
    <t>Loan Amount</t>
  </si>
  <si>
    <t>Rate (Annual)</t>
  </si>
  <si>
    <t>Term of Loan (Years)</t>
  </si>
  <si>
    <t>Amortization (Years)</t>
  </si>
  <si>
    <t>Monthly Payment</t>
  </si>
  <si>
    <t>Annual Payment</t>
  </si>
  <si>
    <t>Beginning Balance</t>
  </si>
  <si>
    <t>Interest Payment</t>
  </si>
  <si>
    <t>Principal Payment</t>
  </si>
  <si>
    <t>Ending Balance</t>
  </si>
  <si>
    <t>Interest Rate</t>
  </si>
  <si>
    <t>Amortization</t>
  </si>
  <si>
    <t>Debt Yield</t>
  </si>
  <si>
    <t>Debt Service Coverage Ratio</t>
  </si>
  <si>
    <t>Loan Information</t>
  </si>
  <si>
    <t>Levered IRR</t>
  </si>
  <si>
    <t>Reversion Proceeds</t>
  </si>
  <si>
    <t>Loan Payment</t>
  </si>
  <si>
    <t>Lender CF</t>
  </si>
  <si>
    <t>LTV</t>
  </si>
  <si>
    <t>years</t>
  </si>
  <si>
    <t>Tax Assessment %</t>
  </si>
  <si>
    <t>Tax Rate</t>
  </si>
  <si>
    <t>Tax Inflation</t>
  </si>
  <si>
    <t>Property Mgmt Fee</t>
  </si>
  <si>
    <t>Other Expenses</t>
  </si>
  <si>
    <t>Other Expense Inflation</t>
  </si>
  <si>
    <t>CapEx Reserve Inflation</t>
  </si>
  <si>
    <t>CapEx Reserve</t>
  </si>
  <si>
    <t>Loan Assumptions:</t>
  </si>
  <si>
    <t>Valuation Assumptions:</t>
  </si>
  <si>
    <t>Reversion Assumptions:</t>
  </si>
  <si>
    <t>Year</t>
  </si>
  <si>
    <t>Loan Funding</t>
  </si>
  <si>
    <t>Loan Repayment</t>
  </si>
  <si>
    <t>Debt Service</t>
  </si>
  <si>
    <t>Month</t>
  </si>
  <si>
    <t>BOP Balance</t>
  </si>
  <si>
    <t>EOP Balance</t>
  </si>
  <si>
    <t>Total Payment</t>
  </si>
  <si>
    <t>Annual Amounts</t>
  </si>
  <si>
    <t>Monthly Amortization Schedule</t>
  </si>
  <si>
    <t>Lender IRR</t>
  </si>
  <si>
    <t>Purchase</t>
  </si>
  <si>
    <t>CF from Operations</t>
  </si>
  <si>
    <t>Unlevered Cash Flow:</t>
  </si>
  <si>
    <t>Loan Amortization:</t>
  </si>
  <si>
    <t>Levered Cash Flow:</t>
  </si>
  <si>
    <t>Lender CF:</t>
  </si>
  <si>
    <t>INPUTS</t>
  </si>
  <si>
    <t>Cap Rate</t>
  </si>
  <si>
    <t>Cash on Cash Return</t>
  </si>
  <si>
    <t>Equity Multiple</t>
  </si>
  <si>
    <t>Summary of Returns:</t>
  </si>
  <si>
    <t>Hold Period Returns:</t>
  </si>
  <si>
    <t>Annual Returns:</t>
  </si>
  <si>
    <t>Loan Metrics:</t>
  </si>
  <si>
    <t>Pro Forma:</t>
  </si>
  <si>
    <t xml:space="preserve">  Short Term Expenses</t>
  </si>
  <si>
    <t xml:space="preserve">  Property Management</t>
  </si>
  <si>
    <t xml:space="preserve">  Other Expenses</t>
  </si>
  <si>
    <t>COMPLETE THESE COLUMNS</t>
  </si>
  <si>
    <t>Fill in missing formula or reference (no hardcoding)</t>
  </si>
  <si>
    <t>[COMPLETE LOAN AMORTIZATION TAB]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</si>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</sst>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000%"/>
    <numFmt numFmtId="167" formatCode="_(#,##0_);\(#,##0\);_(&quot;–&quot;_);_(@_)"/>
    <numFmt numFmtId="168" formatCode="_(#,##0.00_);\(#,##0.00\);_(&quot;–&quot;_);_(@_)"/>
    <numFmt numFmtId="169" formatCode="0.00\x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1"/>
      <color rgb="FF0000FF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rgb="FF008000"/>
      <name val="Arial"/>
      <family val="2"/>
    </font>
    <font>
      <u/>
      <sz val="10"/>
      <color rgb="FF000000"/>
      <name val="Arial"/>
      <family val="2"/>
    </font>
    <font>
      <sz val="12"/>
      <color rgb="FF0000FF"/>
      <name val="Arial"/>
      <family val="2"/>
    </font>
    <font>
      <u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theme="0"/>
      <name val="Arial"/>
      <family val="2"/>
    </font>
    <font>
      <sz val="8"/>
      <name val="Calibri"/>
      <family val="2"/>
      <scheme val="minor"/>
    </font>
    <font>
      <i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44" fontId="11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16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12" fillId="0" borderId="0" xfId="3" applyFont="1"/>
    <xf numFmtId="0" fontId="12" fillId="2" borderId="8" xfId="3" applyFont="1" applyFill="1" applyBorder="1"/>
    <xf numFmtId="0" fontId="12" fillId="2" borderId="10" xfId="3" applyFont="1" applyFill="1" applyBorder="1"/>
    <xf numFmtId="0" fontId="12" fillId="2" borderId="7" xfId="3" applyFont="1" applyFill="1" applyBorder="1"/>
    <xf numFmtId="0" fontId="12" fillId="4" borderId="12" xfId="3" applyFont="1" applyFill="1" applyBorder="1" applyAlignment="1">
      <alignment horizontal="center"/>
    </xf>
    <xf numFmtId="168" fontId="12" fillId="4" borderId="13" xfId="3" applyNumberFormat="1" applyFont="1" applyFill="1" applyBorder="1"/>
    <xf numFmtId="0" fontId="12" fillId="2" borderId="12" xfId="3" applyFont="1" applyFill="1" applyBorder="1" applyAlignment="1">
      <alignment horizontal="center"/>
    </xf>
    <xf numFmtId="168" fontId="12" fillId="2" borderId="13" xfId="3" applyNumberFormat="1" applyFont="1" applyFill="1" applyBorder="1"/>
    <xf numFmtId="0" fontId="12" fillId="2" borderId="3" xfId="3" applyFont="1" applyFill="1" applyBorder="1" applyAlignment="1">
      <alignment horizontal="center"/>
    </xf>
    <xf numFmtId="167" fontId="12" fillId="2" borderId="2" xfId="3" applyNumberFormat="1" applyFont="1" applyFill="1" applyBorder="1"/>
    <xf numFmtId="168" fontId="12" fillId="2" borderId="2" xfId="3" applyNumberFormat="1" applyFont="1" applyFill="1" applyBorder="1"/>
    <xf numFmtId="168" fontId="12" fillId="2" borderId="4" xfId="3" applyNumberFormat="1" applyFont="1" applyFill="1" applyBorder="1"/>
    <xf numFmtId="164" fontId="3" fillId="2" borderId="0" xfId="1" applyNumberFormat="1" applyFont="1" applyFill="1" applyAlignment="1">
      <alignment horizontal="right" vertical="center" wrapText="1"/>
    </xf>
    <xf numFmtId="0" fontId="18" fillId="2" borderId="0" xfId="0" applyFont="1" applyFill="1"/>
    <xf numFmtId="164" fontId="7" fillId="2" borderId="0" xfId="1" applyNumberFormat="1" applyFont="1" applyFill="1"/>
    <xf numFmtId="164" fontId="2" fillId="2" borderId="0" xfId="1" applyNumberFormat="1" applyFont="1" applyFill="1"/>
    <xf numFmtId="0" fontId="6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64" fontId="3" fillId="2" borderId="0" xfId="1" applyNumberFormat="1" applyFont="1" applyFill="1" applyAlignment="1">
      <alignment vertical="center"/>
    </xf>
    <xf numFmtId="9" fontId="7" fillId="2" borderId="0" xfId="2" applyFont="1" applyFill="1"/>
    <xf numFmtId="166" fontId="7" fillId="2" borderId="0" xfId="2" applyNumberFormat="1" applyFont="1" applyFill="1"/>
    <xf numFmtId="165" fontId="7" fillId="2" borderId="0" xfId="2" applyNumberFormat="1" applyFont="1" applyFill="1"/>
    <xf numFmtId="0" fontId="2" fillId="2" borderId="0" xfId="0" quotePrefix="1" applyFont="1" applyFill="1"/>
    <xf numFmtId="164" fontId="2" fillId="2" borderId="0" xfId="1" applyNumberFormat="1" applyFont="1" applyFill="1" applyBorder="1"/>
    <xf numFmtId="165" fontId="10" fillId="2" borderId="0" xfId="2" applyNumberFormat="1" applyFont="1" applyFill="1" applyBorder="1"/>
    <xf numFmtId="164" fontId="3" fillId="2" borderId="0" xfId="1" applyNumberFormat="1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10" fontId="7" fillId="2" borderId="0" xfId="2" applyNumberFormat="1" applyFont="1" applyFill="1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164" fontId="8" fillId="2" borderId="0" xfId="1" applyNumberFormat="1" applyFont="1" applyFill="1" applyBorder="1" applyAlignment="1">
      <alignment horizontal="right" vertical="center" wrapText="1"/>
    </xf>
    <xf numFmtId="164" fontId="4" fillId="2" borderId="0" xfId="1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right" vertical="center" wrapText="1"/>
    </xf>
    <xf numFmtId="164" fontId="4" fillId="2" borderId="1" xfId="1" applyNumberFormat="1" applyFont="1" applyFill="1" applyBorder="1" applyAlignment="1">
      <alignment horizontal="right" vertical="center" wrapText="1"/>
    </xf>
    <xf numFmtId="0" fontId="9" fillId="2" borderId="0" xfId="0" applyFont="1" applyFill="1" applyAlignment="1">
      <alignment vertical="center" wrapText="1"/>
    </xf>
    <xf numFmtId="9" fontId="2" fillId="2" borderId="0" xfId="2" applyFont="1" applyFill="1"/>
    <xf numFmtId="0" fontId="2" fillId="2" borderId="0" xfId="0" applyFont="1" applyFill="1" applyAlignment="1">
      <alignment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164" fontId="3" fillId="2" borderId="2" xfId="1" applyNumberFormat="1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horizontal="left" vertical="center" wrapText="1" indent="1"/>
    </xf>
    <xf numFmtId="164" fontId="3" fillId="2" borderId="14" xfId="1" applyNumberFormat="1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10" fontId="7" fillId="2" borderId="0" xfId="0" applyNumberFormat="1" applyFont="1" applyFill="1"/>
    <xf numFmtId="43" fontId="2" fillId="2" borderId="0" xfId="1" applyFont="1" applyFill="1"/>
    <xf numFmtId="43" fontId="7" fillId="2" borderId="0" xfId="1" applyFont="1" applyFill="1"/>
    <xf numFmtId="0" fontId="2" fillId="5" borderId="0" xfId="0" applyFont="1" applyFill="1"/>
    <xf numFmtId="0" fontId="2" fillId="5" borderId="0" xfId="0" quotePrefix="1" applyFont="1" applyFill="1"/>
    <xf numFmtId="10" fontId="8" fillId="2" borderId="0" xfId="0" applyNumberFormat="1" applyFont="1" applyFill="1" applyAlignment="1">
      <alignment horizontal="right" vertical="center" wrapText="1"/>
    </xf>
    <xf numFmtId="164" fontId="4" fillId="2" borderId="14" xfId="0" applyNumberFormat="1" applyFont="1" applyFill="1" applyBorder="1" applyAlignment="1">
      <alignment horizontal="right" vertical="center" wrapText="1"/>
    </xf>
    <xf numFmtId="164" fontId="12" fillId="2" borderId="2" xfId="1" applyNumberFormat="1" applyFont="1" applyFill="1" applyBorder="1"/>
    <xf numFmtId="0" fontId="12" fillId="2" borderId="2" xfId="1" applyNumberFormat="1" applyFont="1" applyFill="1" applyBorder="1" applyAlignment="1">
      <alignment horizontal="center"/>
    </xf>
    <xf numFmtId="0" fontId="15" fillId="0" borderId="0" xfId="3" applyFont="1"/>
    <xf numFmtId="0" fontId="12" fillId="2" borderId="0" xfId="3" applyFont="1" applyFill="1"/>
    <xf numFmtId="0" fontId="17" fillId="2" borderId="0" xfId="3" applyFont="1" applyFill="1"/>
    <xf numFmtId="0" fontId="12" fillId="2" borderId="0" xfId="1" applyNumberFormat="1" applyFont="1" applyFill="1" applyBorder="1" applyAlignment="1">
      <alignment horizontal="center"/>
    </xf>
    <xf numFmtId="167" fontId="12" fillId="2" borderId="0" xfId="3" applyNumberFormat="1" applyFont="1" applyFill="1"/>
    <xf numFmtId="168" fontId="12" fillId="2" borderId="0" xfId="3" applyNumberFormat="1" applyFont="1" applyFill="1"/>
    <xf numFmtId="167" fontId="12" fillId="4" borderId="0" xfId="3" applyNumberFormat="1" applyFont="1" applyFill="1"/>
    <xf numFmtId="0" fontId="13" fillId="3" borderId="5" xfId="3" applyFont="1" applyFill="1" applyBorder="1" applyAlignment="1">
      <alignment horizontal="center" vertical="center" wrapText="1"/>
    </xf>
    <xf numFmtId="0" fontId="13" fillId="3" borderId="15" xfId="3" applyFont="1" applyFill="1" applyBorder="1" applyAlignment="1">
      <alignment horizontal="center" vertical="center" wrapText="1"/>
    </xf>
    <xf numFmtId="0" fontId="13" fillId="3" borderId="6" xfId="3" applyFont="1" applyFill="1" applyBorder="1" applyAlignment="1">
      <alignment horizontal="center" vertical="center" wrapText="1"/>
    </xf>
    <xf numFmtId="0" fontId="13" fillId="2" borderId="16" xfId="3" applyFont="1" applyFill="1" applyBorder="1" applyAlignment="1">
      <alignment horizontal="centerContinuous"/>
    </xf>
    <xf numFmtId="0" fontId="12" fillId="2" borderId="17" xfId="3" applyFont="1" applyFill="1" applyBorder="1" applyAlignment="1">
      <alignment horizontal="centerContinuous"/>
    </xf>
    <xf numFmtId="0" fontId="12" fillId="2" borderId="18" xfId="3" applyFont="1" applyFill="1" applyBorder="1" applyAlignment="1">
      <alignment horizontal="centerContinuous"/>
    </xf>
    <xf numFmtId="43" fontId="12" fillId="2" borderId="9" xfId="1" applyFont="1" applyFill="1" applyBorder="1"/>
    <xf numFmtId="10" fontId="12" fillId="2" borderId="9" xfId="3" applyNumberFormat="1" applyFont="1" applyFill="1" applyBorder="1"/>
    <xf numFmtId="0" fontId="12" fillId="2" borderId="9" xfId="3" applyFont="1" applyFill="1" applyBorder="1"/>
    <xf numFmtId="43" fontId="12" fillId="2" borderId="9" xfId="3" applyNumberFormat="1" applyFont="1" applyFill="1" applyBorder="1"/>
    <xf numFmtId="43" fontId="12" fillId="2" borderId="11" xfId="3" applyNumberFormat="1" applyFont="1" applyFill="1" applyBorder="1"/>
    <xf numFmtId="164" fontId="12" fillId="2" borderId="0" xfId="1" applyNumberFormat="1" applyFont="1" applyFill="1" applyBorder="1"/>
    <xf numFmtId="0" fontId="12" fillId="2" borderId="12" xfId="1" applyNumberFormat="1" applyFont="1" applyFill="1" applyBorder="1" applyAlignment="1">
      <alignment horizontal="center"/>
    </xf>
    <xf numFmtId="164" fontId="12" fillId="2" borderId="13" xfId="1" applyNumberFormat="1" applyFont="1" applyFill="1" applyBorder="1"/>
    <xf numFmtId="0" fontId="12" fillId="2" borderId="3" xfId="1" applyNumberFormat="1" applyFont="1" applyFill="1" applyBorder="1" applyAlignment="1">
      <alignment horizontal="center"/>
    </xf>
    <xf numFmtId="164" fontId="12" fillId="2" borderId="4" xfId="1" applyNumberFormat="1" applyFont="1" applyFill="1" applyBorder="1"/>
    <xf numFmtId="167" fontId="12" fillId="4" borderId="12" xfId="3" applyNumberFormat="1" applyFont="1" applyFill="1" applyBorder="1"/>
    <xf numFmtId="167" fontId="12" fillId="4" borderId="13" xfId="3" applyNumberFormat="1" applyFont="1" applyFill="1" applyBorder="1"/>
    <xf numFmtId="0" fontId="13" fillId="0" borderId="0" xfId="3" applyFont="1"/>
    <xf numFmtId="0" fontId="13" fillId="2" borderId="0" xfId="3" applyFont="1" applyFill="1"/>
    <xf numFmtId="164" fontId="3" fillId="2" borderId="2" xfId="1" applyNumberFormat="1" applyFont="1" applyFill="1" applyBorder="1" applyAlignment="1">
      <alignment vertical="center" wrapText="1"/>
    </xf>
    <xf numFmtId="0" fontId="2" fillId="2" borderId="0" xfId="0" applyFont="1" applyFill="1" applyAlignment="1">
      <alignment horizontal="left" indent="1"/>
    </xf>
    <xf numFmtId="165" fontId="7" fillId="2" borderId="0" xfId="2" applyNumberFormat="1" applyFont="1" applyFill="1" applyAlignment="1">
      <alignment horizontal="left"/>
    </xf>
    <xf numFmtId="0" fontId="21" fillId="6" borderId="0" xfId="0" applyFont="1" applyFill="1" applyAlignment="1">
      <alignment horizontal="center" vertical="center" wrapText="1"/>
    </xf>
    <xf numFmtId="0" fontId="21" fillId="6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1"/>
    </xf>
    <xf numFmtId="0" fontId="2" fillId="2" borderId="5" xfId="0" applyFont="1" applyFill="1" applyBorder="1" applyAlignment="1">
      <alignment horizontal="left" indent="1"/>
    </xf>
    <xf numFmtId="164" fontId="7" fillId="2" borderId="0" xfId="1" applyNumberFormat="1" applyFont="1" applyFill="1" applyAlignment="1">
      <alignment horizontal="right"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64" fontId="11" fillId="2" borderId="0" xfId="1" applyNumberFormat="1" applyFont="1" applyFill="1"/>
    <xf numFmtId="164" fontId="7" fillId="2" borderId="14" xfId="1" applyNumberFormat="1" applyFont="1" applyFill="1" applyBorder="1" applyAlignment="1">
      <alignment horizontal="right" vertical="center" wrapText="1"/>
    </xf>
    <xf numFmtId="164" fontId="2" fillId="7" borderId="0" xfId="1" applyNumberFormat="1" applyFont="1" applyFill="1"/>
    <xf numFmtId="164" fontId="3" fillId="7" borderId="0" xfId="1" applyNumberFormat="1" applyFont="1" applyFill="1" applyBorder="1" applyAlignment="1">
      <alignment horizontal="right" vertical="center" wrapText="1"/>
    </xf>
    <xf numFmtId="164" fontId="3" fillId="7" borderId="14" xfId="1" applyNumberFormat="1" applyFont="1" applyFill="1" applyBorder="1" applyAlignment="1">
      <alignment horizontal="right" vertical="center" wrapText="1"/>
    </xf>
    <xf numFmtId="164" fontId="3" fillId="7" borderId="14" xfId="1" applyNumberFormat="1" applyFont="1" applyFill="1" applyBorder="1" applyAlignment="1">
      <alignment vertical="center" wrapText="1"/>
    </xf>
    <xf numFmtId="164" fontId="2" fillId="7" borderId="14" xfId="1" applyNumberFormat="1" applyFont="1" applyFill="1" applyBorder="1"/>
    <xf numFmtId="10" fontId="2" fillId="7" borderId="6" xfId="0" applyNumberFormat="1" applyFont="1" applyFill="1" applyBorder="1"/>
    <xf numFmtId="168" fontId="12" fillId="7" borderId="0" xfId="3" applyNumberFormat="1" applyFont="1" applyFill="1"/>
    <xf numFmtId="164" fontId="3" fillId="7" borderId="0" xfId="0" applyNumberFormat="1" applyFont="1" applyFill="1" applyAlignment="1">
      <alignment vertical="center" wrapText="1"/>
    </xf>
    <xf numFmtId="164" fontId="3" fillId="7" borderId="0" xfId="1" applyNumberFormat="1" applyFont="1" applyFill="1" applyBorder="1" applyAlignment="1">
      <alignment vertical="center" wrapText="1"/>
    </xf>
    <xf numFmtId="164" fontId="3" fillId="7" borderId="2" xfId="1" applyNumberFormat="1" applyFont="1" applyFill="1" applyBorder="1" applyAlignment="1">
      <alignment vertical="center" wrapText="1"/>
    </xf>
    <xf numFmtId="164" fontId="2" fillId="7" borderId="0" xfId="0" applyNumberFormat="1" applyFont="1" applyFill="1"/>
    <xf numFmtId="10" fontId="2" fillId="7" borderId="0" xfId="2" applyNumberFormat="1" applyFont="1" applyFill="1" applyBorder="1" applyAlignment="1">
      <alignment horizontal="right" vertical="center" wrapText="1"/>
    </xf>
    <xf numFmtId="10" fontId="2" fillId="7" borderId="0" xfId="2" applyNumberFormat="1" applyFont="1" applyFill="1"/>
    <xf numFmtId="169" fontId="3" fillId="7" borderId="0" xfId="1" applyNumberFormat="1" applyFont="1" applyFill="1" applyBorder="1" applyAlignment="1">
      <alignment vertical="center" wrapText="1"/>
    </xf>
    <xf numFmtId="0" fontId="23" fillId="2" borderId="0" xfId="0" applyFont="1" applyFill="1" applyAlignment="1">
      <alignment vertical="center"/>
    </xf>
    <xf numFmtId="164" fontId="2" fillId="7" borderId="0" xfId="2" applyNumberFormat="1" applyFont="1" applyFill="1"/>
    <xf numFmtId="0" fontId="21" fillId="6" borderId="0" xfId="0" applyFont="1" applyFill="1" applyAlignment="1">
      <alignment horizontal="center" vertical="center"/>
    </xf>
    <xf numFmtId="164" fontId="3" fillId="7" borderId="0" xfId="0" applyNumberFormat="1" applyFont="1" applyFill="1" applyAlignment="1">
      <alignment horizontal="center" vertical="center" wrapText="1"/>
    </xf>
    <xf numFmtId="0" fontId="12" fillId="7" borderId="2" xfId="3" applyFont="1" applyFill="1" applyBorder="1" applyAlignment="1">
      <alignment horizontal="center"/>
    </xf>
  </cellXfs>
  <cellStyles count="230">
    <cellStyle name="Comma" xfId="1" builtinId="3"/>
    <cellStyle name="Comma 2" xfId="5" xr:uid="{00000000-0005-0000-0000-000001000000}"/>
    <cellStyle name="Currency 2" xfId="4" xr:uid="{00000000-0005-0000-0000-000002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Normal" xfId="0" builtinId="0"/>
    <cellStyle name="Normal 10" xfId="3" xr:uid="{00000000-0005-0000-0000-0000E4000000}"/>
    <cellStyle name="Percent" xfId="2" builtinId="5"/>
  </cellStyles>
  <dxfs count="2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89"/>
  <sheetViews>
    <sheetView tabSelected="1" topLeftCell="B21" workbookViewId="0">
      <selection activeCell="C21" sqref="C21"/>
    </sheetView>
  </sheetViews>
  <sheetFormatPr defaultColWidth="9.1796875" defaultRowHeight="12.5" outlineLevelCol="1" x14ac:dyDescent="0.25"/>
  <cols>
    <col min="1" max="1" width="2.81640625" style="1" customWidth="1"/>
    <col min="2" max="2" width="31.453125" style="1" customWidth="1" outlineLevel="1"/>
    <col min="3" max="3" width="15" style="1" bestFit="1" customWidth="1" outlineLevel="1"/>
    <col min="4" max="4" width="10.81640625" style="1" customWidth="1" outlineLevel="1"/>
    <col min="5" max="5" width="2.81640625" style="1" customWidth="1" outlineLevel="1"/>
    <col min="6" max="6" width="2.81640625" style="1" customWidth="1"/>
    <col min="7" max="7" width="30.6328125" style="1" customWidth="1"/>
    <col min="8" max="8" width="12.453125" style="1" customWidth="1"/>
    <col min="9" max="9" width="13" style="1" bestFit="1" customWidth="1"/>
    <col min="10" max="19" width="12.6328125" style="1" customWidth="1"/>
    <col min="20" max="20" width="11.81640625" style="1" customWidth="1"/>
    <col min="21" max="21" width="13.81640625" style="1" customWidth="1"/>
    <col min="22" max="22" width="14.81640625" style="1" bestFit="1" customWidth="1"/>
    <col min="23" max="16384" width="9.1796875" style="1"/>
  </cols>
  <sheetData>
    <row r="2" spans="2:19" ht="20" customHeight="1" x14ac:dyDescent="0.25">
      <c r="B2" s="113" t="s">
        <v>89</v>
      </c>
      <c r="C2" s="113"/>
      <c r="D2" s="113"/>
      <c r="G2" s="88" t="s">
        <v>72</v>
      </c>
      <c r="H2" s="87">
        <v>0</v>
      </c>
      <c r="I2" s="87">
        <v>1</v>
      </c>
      <c r="J2" s="87">
        <f>I2+1</f>
        <v>2</v>
      </c>
      <c r="K2" s="87">
        <f t="shared" ref="K2:S2" si="0">J2+1</f>
        <v>3</v>
      </c>
      <c r="L2" s="87">
        <f t="shared" si="0"/>
        <v>4</v>
      </c>
      <c r="M2" s="87">
        <f t="shared" si="0"/>
        <v>5</v>
      </c>
      <c r="N2" s="87">
        <f t="shared" si="0"/>
        <v>6</v>
      </c>
      <c r="O2" s="87">
        <f t="shared" si="0"/>
        <v>7</v>
      </c>
      <c r="P2" s="87">
        <f t="shared" si="0"/>
        <v>8</v>
      </c>
      <c r="Q2" s="87">
        <f t="shared" si="0"/>
        <v>9</v>
      </c>
      <c r="R2" s="87">
        <f t="shared" si="0"/>
        <v>10</v>
      </c>
      <c r="S2" s="87">
        <f t="shared" si="0"/>
        <v>11</v>
      </c>
    </row>
    <row r="4" spans="2:19" x14ac:dyDescent="0.25">
      <c r="G4" s="20"/>
      <c r="H4" s="20"/>
    </row>
    <row r="5" spans="2:19" ht="13" x14ac:dyDescent="0.3">
      <c r="B5" s="19" t="s">
        <v>70</v>
      </c>
      <c r="E5" s="51"/>
      <c r="G5" s="19" t="s">
        <v>97</v>
      </c>
    </row>
    <row r="6" spans="2:19" x14ac:dyDescent="0.25">
      <c r="B6" s="1" t="s">
        <v>36</v>
      </c>
      <c r="C6" s="17">
        <v>38900000</v>
      </c>
      <c r="E6" s="51"/>
    </row>
    <row r="7" spans="2:19" ht="13" x14ac:dyDescent="0.25">
      <c r="B7" s="1" t="s">
        <v>61</v>
      </c>
      <c r="C7" s="24">
        <v>0.6</v>
      </c>
      <c r="E7" s="51"/>
      <c r="G7" s="91" t="s">
        <v>0</v>
      </c>
      <c r="H7" s="47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</row>
    <row r="8" spans="2:19" x14ac:dyDescent="0.25">
      <c r="B8" s="1" t="s">
        <v>62</v>
      </c>
      <c r="C8" s="25">
        <v>1.2775E-2</v>
      </c>
      <c r="E8" s="51"/>
      <c r="G8" s="90" t="s">
        <v>1</v>
      </c>
      <c r="H8" s="41"/>
      <c r="I8" s="93">
        <f>208315*12</f>
        <v>2499780</v>
      </c>
      <c r="J8" s="93">
        <f>SUM(I8*1.03)</f>
        <v>2574773.4</v>
      </c>
      <c r="K8" s="93">
        <f t="shared" ref="K8:R8" si="1">SUM(J8*1.03)</f>
        <v>2652016.602</v>
      </c>
      <c r="L8" s="93">
        <f t="shared" si="1"/>
        <v>2731577.1000600001</v>
      </c>
      <c r="M8" s="93">
        <f t="shared" si="1"/>
        <v>2813524.4130617999</v>
      </c>
      <c r="N8" s="93">
        <f t="shared" si="1"/>
        <v>2897930.1454536542</v>
      </c>
      <c r="O8" s="93">
        <f t="shared" si="1"/>
        <v>2984868.0498172641</v>
      </c>
      <c r="P8" s="93">
        <f t="shared" si="1"/>
        <v>3074414.0913117821</v>
      </c>
      <c r="Q8" s="93">
        <f t="shared" si="1"/>
        <v>3166646.5140511356</v>
      </c>
      <c r="R8" s="93">
        <f t="shared" si="1"/>
        <v>3261645.9094726699</v>
      </c>
      <c r="S8" s="15"/>
    </row>
    <row r="9" spans="2:19" x14ac:dyDescent="0.25">
      <c r="B9" s="1" t="s">
        <v>63</v>
      </c>
      <c r="C9" s="26">
        <v>0.03</v>
      </c>
      <c r="E9" s="51"/>
      <c r="G9" s="90" t="s">
        <v>2</v>
      </c>
      <c r="H9" s="41"/>
      <c r="I9" s="94"/>
      <c r="J9" s="94"/>
      <c r="K9" s="94"/>
      <c r="L9" s="94"/>
      <c r="M9" s="94"/>
      <c r="N9" s="94"/>
      <c r="O9" s="94"/>
      <c r="P9" s="94"/>
      <c r="Q9" s="94"/>
      <c r="R9" s="94"/>
      <c r="S9" s="43"/>
    </row>
    <row r="10" spans="2:19" x14ac:dyDescent="0.25">
      <c r="B10" s="1" t="s">
        <v>64</v>
      </c>
      <c r="C10" s="26">
        <v>2.5000000000000001E-2</v>
      </c>
      <c r="D10" s="1" t="s">
        <v>31</v>
      </c>
      <c r="E10" s="51"/>
      <c r="G10" s="90" t="s">
        <v>35</v>
      </c>
      <c r="H10" s="41"/>
      <c r="I10" s="98">
        <f>SUM(I8:I9)</f>
        <v>2499780</v>
      </c>
      <c r="J10" s="98">
        <f t="shared" ref="J10:R10" si="2">SUM(J8:J9)</f>
        <v>2574773.4</v>
      </c>
      <c r="K10" s="98">
        <f t="shared" si="2"/>
        <v>2652016.602</v>
      </c>
      <c r="L10" s="98">
        <f t="shared" si="2"/>
        <v>2731577.1000600001</v>
      </c>
      <c r="M10" s="98">
        <f t="shared" si="2"/>
        <v>2813524.4130617999</v>
      </c>
      <c r="N10" s="98">
        <f t="shared" si="2"/>
        <v>2897930.1454536542</v>
      </c>
      <c r="O10" s="98">
        <f t="shared" si="2"/>
        <v>2984868.0498172641</v>
      </c>
      <c r="P10" s="98">
        <f t="shared" si="2"/>
        <v>3074414.0913117821</v>
      </c>
      <c r="Q10" s="98">
        <f t="shared" si="2"/>
        <v>3166646.5140511356</v>
      </c>
      <c r="R10" s="98">
        <f t="shared" si="2"/>
        <v>3261645.9094726699</v>
      </c>
      <c r="S10" s="42"/>
    </row>
    <row r="11" spans="2:19" ht="13" x14ac:dyDescent="0.25">
      <c r="B11" s="1" t="s">
        <v>65</v>
      </c>
      <c r="C11" s="17">
        <v>199548</v>
      </c>
      <c r="E11" s="51"/>
      <c r="G11" s="91" t="s">
        <v>3</v>
      </c>
      <c r="H11" s="47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</row>
    <row r="12" spans="2:19" x14ac:dyDescent="0.25">
      <c r="B12" s="1" t="s">
        <v>66</v>
      </c>
      <c r="C12" s="26">
        <v>0.03</v>
      </c>
      <c r="D12" s="1" t="s">
        <v>32</v>
      </c>
      <c r="E12" s="51"/>
      <c r="G12" s="90" t="s">
        <v>4</v>
      </c>
      <c r="H12" s="41"/>
      <c r="I12" s="94">
        <f>20941*12</f>
        <v>251292</v>
      </c>
      <c r="J12" s="94">
        <f>SUM(I12*1.03)</f>
        <v>258830.76</v>
      </c>
      <c r="K12" s="94">
        <f t="shared" ref="K12:R12" si="3">SUM(J12*1.03)</f>
        <v>266595.68280000001</v>
      </c>
      <c r="L12" s="94">
        <f t="shared" si="3"/>
        <v>274593.55328400002</v>
      </c>
      <c r="M12" s="94">
        <f t="shared" si="3"/>
        <v>282831.35988252005</v>
      </c>
      <c r="N12" s="94">
        <f t="shared" si="3"/>
        <v>291316.30067899567</v>
      </c>
      <c r="O12" s="94">
        <f t="shared" si="3"/>
        <v>300055.78969936556</v>
      </c>
      <c r="P12" s="94">
        <f t="shared" si="3"/>
        <v>309057.46339034656</v>
      </c>
      <c r="Q12" s="94">
        <f t="shared" si="3"/>
        <v>318329.18729205697</v>
      </c>
      <c r="R12" s="94">
        <f t="shared" si="3"/>
        <v>327879.06291081867</v>
      </c>
      <c r="S12" s="43"/>
    </row>
    <row r="13" spans="2:19" x14ac:dyDescent="0.25">
      <c r="B13" s="1" t="s">
        <v>68</v>
      </c>
      <c r="C13" s="50">
        <v>0.2</v>
      </c>
      <c r="D13" s="27" t="s">
        <v>33</v>
      </c>
      <c r="E13" s="52"/>
      <c r="G13" s="91" t="s">
        <v>5</v>
      </c>
      <c r="H13" s="41"/>
      <c r="I13" s="98">
        <f>SUM(I10:I12)</f>
        <v>2751072</v>
      </c>
      <c r="J13" s="98">
        <f t="shared" ref="J13:R13" si="4">SUM(J10:J12)</f>
        <v>2833604.16</v>
      </c>
      <c r="K13" s="98">
        <f t="shared" si="4"/>
        <v>2918612.2848</v>
      </c>
      <c r="L13" s="98">
        <f t="shared" si="4"/>
        <v>3006170.6533440002</v>
      </c>
      <c r="M13" s="98">
        <f t="shared" si="4"/>
        <v>3096355.77294432</v>
      </c>
      <c r="N13" s="98">
        <f t="shared" si="4"/>
        <v>3189246.4461326497</v>
      </c>
      <c r="O13" s="98">
        <f t="shared" si="4"/>
        <v>3284923.8395166295</v>
      </c>
      <c r="P13" s="98">
        <f t="shared" si="4"/>
        <v>3383471.5547021287</v>
      </c>
      <c r="Q13" s="98">
        <f t="shared" si="4"/>
        <v>3484975.7013431927</v>
      </c>
      <c r="R13" s="98">
        <f t="shared" si="4"/>
        <v>3589524.9723834884</v>
      </c>
      <c r="S13" s="42"/>
    </row>
    <row r="14" spans="2:19" ht="13" x14ac:dyDescent="0.25">
      <c r="B14" s="1" t="s">
        <v>67</v>
      </c>
      <c r="C14" s="26">
        <v>0.03</v>
      </c>
      <c r="D14" s="1" t="s">
        <v>32</v>
      </c>
      <c r="E14" s="51"/>
      <c r="G14" s="91" t="s">
        <v>6</v>
      </c>
      <c r="H14" s="47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2:19" x14ac:dyDescent="0.25">
      <c r="E15" s="51"/>
      <c r="G15" s="90" t="s">
        <v>7</v>
      </c>
      <c r="H15" s="41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43"/>
    </row>
    <row r="16" spans="2:19" ht="13" x14ac:dyDescent="0.3">
      <c r="B16" s="19" t="s">
        <v>71</v>
      </c>
      <c r="E16" s="51"/>
      <c r="G16" s="91" t="s">
        <v>8</v>
      </c>
      <c r="H16" s="41"/>
      <c r="I16" s="98">
        <f>SUM(I13, I15)</f>
        <v>2751072</v>
      </c>
      <c r="J16" s="98">
        <f t="shared" ref="J16:R16" si="5">SUM(J13, J15)</f>
        <v>2833604.16</v>
      </c>
      <c r="K16" s="98">
        <f t="shared" si="5"/>
        <v>2918612.2848</v>
      </c>
      <c r="L16" s="98">
        <f t="shared" si="5"/>
        <v>3006170.6533440002</v>
      </c>
      <c r="M16" s="98">
        <f t="shared" si="5"/>
        <v>3096355.77294432</v>
      </c>
      <c r="N16" s="98">
        <f t="shared" si="5"/>
        <v>3189246.4461326497</v>
      </c>
      <c r="O16" s="98">
        <f t="shared" si="5"/>
        <v>3284923.8395166295</v>
      </c>
      <c r="P16" s="98">
        <f t="shared" si="5"/>
        <v>3383471.5547021287</v>
      </c>
      <c r="Q16" s="98">
        <f t="shared" si="5"/>
        <v>3484975.7013431927</v>
      </c>
      <c r="R16" s="98">
        <f t="shared" si="5"/>
        <v>3589524.9723834884</v>
      </c>
      <c r="S16" s="42"/>
    </row>
    <row r="17" spans="2:19" ht="14" x14ac:dyDescent="0.25">
      <c r="B17" s="34" t="s">
        <v>24</v>
      </c>
      <c r="C17" s="36">
        <f>S26</f>
        <v>2664733</v>
      </c>
      <c r="E17" s="51"/>
      <c r="G17" s="91" t="s">
        <v>9</v>
      </c>
      <c r="H17" s="47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2:19" ht="14" x14ac:dyDescent="0.25">
      <c r="B18" s="34" t="s">
        <v>25</v>
      </c>
      <c r="C18" s="35">
        <v>0</v>
      </c>
      <c r="E18" s="51"/>
      <c r="G18" s="90" t="s">
        <v>10</v>
      </c>
      <c r="H18" s="41"/>
      <c r="I18" s="15">
        <f>C8*(C6*C7)</f>
        <v>298168.5</v>
      </c>
      <c r="J18" s="15">
        <f t="shared" ref="J18:R18" si="6">I18*(1+$C$9)</f>
        <v>307113.55499999999</v>
      </c>
      <c r="K18" s="15">
        <f t="shared" si="6"/>
        <v>316326.96165000001</v>
      </c>
      <c r="L18" s="15">
        <f t="shared" si="6"/>
        <v>325816.77049950004</v>
      </c>
      <c r="M18" s="15">
        <f t="shared" si="6"/>
        <v>335591.27361448505</v>
      </c>
      <c r="N18" s="15">
        <f t="shared" si="6"/>
        <v>345659.01182291959</v>
      </c>
      <c r="O18" s="15">
        <f t="shared" si="6"/>
        <v>356028.78217760718</v>
      </c>
      <c r="P18" s="15">
        <f t="shared" si="6"/>
        <v>366709.64564293541</v>
      </c>
      <c r="Q18" s="15">
        <f t="shared" si="6"/>
        <v>377710.93501222349</v>
      </c>
      <c r="R18" s="15">
        <f t="shared" si="6"/>
        <v>389042.26306259021</v>
      </c>
      <c r="S18" s="15"/>
    </row>
    <row r="19" spans="2:19" ht="14" x14ac:dyDescent="0.25">
      <c r="B19" s="34" t="s">
        <v>26</v>
      </c>
      <c r="C19" s="37">
        <f>SUM(C17:C18)</f>
        <v>2664733</v>
      </c>
      <c r="E19" s="51"/>
      <c r="G19" s="90" t="s">
        <v>11</v>
      </c>
      <c r="H19" s="41"/>
      <c r="I19" s="93">
        <f>8500*12</f>
        <v>102000</v>
      </c>
      <c r="J19" s="93">
        <f>SUM(I19*1.03)</f>
        <v>105060</v>
      </c>
      <c r="K19" s="93">
        <f t="shared" ref="K19:R19" si="7">SUM(J19*1.03)</f>
        <v>108211.8</v>
      </c>
      <c r="L19" s="93">
        <f t="shared" si="7"/>
        <v>111458.15400000001</v>
      </c>
      <c r="M19" s="93">
        <f t="shared" si="7"/>
        <v>114801.89862000001</v>
      </c>
      <c r="N19" s="93">
        <f t="shared" si="7"/>
        <v>118245.95557860001</v>
      </c>
      <c r="O19" s="93">
        <f t="shared" si="7"/>
        <v>121793.33424595802</v>
      </c>
      <c r="P19" s="93">
        <f t="shared" si="7"/>
        <v>125447.13427333676</v>
      </c>
      <c r="Q19" s="93">
        <f t="shared" si="7"/>
        <v>129210.54830153687</v>
      </c>
      <c r="R19" s="93">
        <f t="shared" si="7"/>
        <v>133086.86475058299</v>
      </c>
      <c r="S19" s="15"/>
    </row>
    <row r="20" spans="2:19" ht="14" x14ac:dyDescent="0.25">
      <c r="B20" s="34" t="s">
        <v>27</v>
      </c>
      <c r="C20" s="53">
        <v>6.6500000000000004E-2</v>
      </c>
      <c r="E20" s="51"/>
      <c r="G20" s="90" t="s">
        <v>12</v>
      </c>
      <c r="H20" s="41"/>
      <c r="I20" s="93">
        <f>6000*12</f>
        <v>72000</v>
      </c>
      <c r="J20" s="93">
        <f>SUM(I20*1.03)</f>
        <v>74160</v>
      </c>
      <c r="K20" s="93">
        <f t="shared" ref="K20:R20" si="8">SUM(J20*1.03)</f>
        <v>76384.800000000003</v>
      </c>
      <c r="L20" s="93">
        <f t="shared" si="8"/>
        <v>78676.344000000012</v>
      </c>
      <c r="M20" s="93">
        <f t="shared" si="8"/>
        <v>81036.634320000012</v>
      </c>
      <c r="N20" s="93">
        <f t="shared" si="8"/>
        <v>83467.733349600021</v>
      </c>
      <c r="O20" s="93">
        <f t="shared" si="8"/>
        <v>85971.765350088026</v>
      </c>
      <c r="P20" s="93">
        <f t="shared" si="8"/>
        <v>88550.91831059067</v>
      </c>
      <c r="Q20" s="93">
        <f t="shared" si="8"/>
        <v>91207.445859908388</v>
      </c>
      <c r="R20" s="93">
        <f t="shared" si="8"/>
        <v>93943.669235705645</v>
      </c>
      <c r="S20" s="15"/>
    </row>
    <row r="21" spans="2:19" ht="14" x14ac:dyDescent="0.25">
      <c r="B21" s="34" t="s">
        <v>28</v>
      </c>
      <c r="C21" s="38">
        <f>C19/C20</f>
        <v>40071172.932330824</v>
      </c>
      <c r="E21" s="51"/>
      <c r="G21" s="90" t="s">
        <v>13</v>
      </c>
      <c r="H21" s="41"/>
      <c r="I21" s="93">
        <f>2250*12</f>
        <v>27000</v>
      </c>
      <c r="J21" s="93">
        <f>SUM(I21*1.03)</f>
        <v>27810</v>
      </c>
      <c r="K21" s="93">
        <f t="shared" ref="K21:R21" si="9">SUM(J21*1.03)</f>
        <v>28644.3</v>
      </c>
      <c r="L21" s="93">
        <f t="shared" si="9"/>
        <v>29503.629000000001</v>
      </c>
      <c r="M21" s="93">
        <f t="shared" si="9"/>
        <v>30388.737870000001</v>
      </c>
      <c r="N21" s="93">
        <f t="shared" si="9"/>
        <v>31300.400006100001</v>
      </c>
      <c r="O21" s="93">
        <f t="shared" si="9"/>
        <v>32239.412006283001</v>
      </c>
      <c r="P21" s="93">
        <f t="shared" si="9"/>
        <v>33206.594366471494</v>
      </c>
      <c r="Q21" s="93">
        <f t="shared" si="9"/>
        <v>34202.792197465642</v>
      </c>
      <c r="R21" s="93">
        <f t="shared" si="9"/>
        <v>35228.875963389612</v>
      </c>
      <c r="S21" s="15"/>
    </row>
    <row r="22" spans="2:19" ht="14" x14ac:dyDescent="0.25">
      <c r="B22" s="34" t="s">
        <v>29</v>
      </c>
      <c r="C22" s="36">
        <f>-D22*C21</f>
        <v>-400711.72932330827</v>
      </c>
      <c r="D22" s="86">
        <v>0.01</v>
      </c>
      <c r="E22" s="51"/>
      <c r="G22" s="90" t="s">
        <v>98</v>
      </c>
      <c r="H22" s="41"/>
      <c r="I22" s="93"/>
      <c r="J22" s="93"/>
      <c r="K22" s="93"/>
      <c r="L22" s="93" t="s">
        <v>23</v>
      </c>
      <c r="M22" s="93" t="s">
        <v>23</v>
      </c>
      <c r="N22" s="93" t="s">
        <v>23</v>
      </c>
      <c r="O22" s="93" t="s">
        <v>23</v>
      </c>
      <c r="P22" s="93" t="s">
        <v>23</v>
      </c>
      <c r="Q22" s="93" t="s">
        <v>23</v>
      </c>
      <c r="R22" s="93" t="s">
        <v>23</v>
      </c>
      <c r="S22" s="15"/>
    </row>
    <row r="23" spans="2:19" ht="14.5" thickBot="1" x14ac:dyDescent="0.3">
      <c r="B23" s="34" t="s">
        <v>30</v>
      </c>
      <c r="C23" s="54">
        <f>SUM(C21:C22)</f>
        <v>39670461.203007519</v>
      </c>
      <c r="E23" s="51"/>
      <c r="G23" s="90" t="s">
        <v>99</v>
      </c>
      <c r="H23" s="41"/>
      <c r="I23" s="15">
        <f>I16*C10</f>
        <v>68776.800000000003</v>
      </c>
      <c r="J23" s="15">
        <f>J16*$C$10</f>
        <v>70840.104000000007</v>
      </c>
      <c r="K23" s="15">
        <f t="shared" ref="K23:R23" si="10">K16*$C$10</f>
        <v>72965.307119999998</v>
      </c>
      <c r="L23" s="15">
        <f t="shared" si="10"/>
        <v>75154.266333600011</v>
      </c>
      <c r="M23" s="15">
        <f t="shared" si="10"/>
        <v>77408.894323608009</v>
      </c>
      <c r="N23" s="15">
        <f t="shared" si="10"/>
        <v>79731.16115331625</v>
      </c>
      <c r="O23" s="15">
        <f t="shared" si="10"/>
        <v>82123.095987915745</v>
      </c>
      <c r="P23" s="15">
        <f t="shared" si="10"/>
        <v>84586.78886755323</v>
      </c>
      <c r="Q23" s="15">
        <f t="shared" si="10"/>
        <v>87124.392533579827</v>
      </c>
      <c r="R23" s="15">
        <f t="shared" si="10"/>
        <v>89738.12430958722</v>
      </c>
      <c r="S23" s="15"/>
    </row>
    <row r="24" spans="2:19" x14ac:dyDescent="0.25">
      <c r="E24" s="51"/>
      <c r="G24" s="90" t="s">
        <v>100</v>
      </c>
      <c r="H24" s="41"/>
      <c r="I24" s="43">
        <f>C11</f>
        <v>199548</v>
      </c>
      <c r="J24" s="43">
        <f>I24*(1+$C$14)</f>
        <v>205534.44</v>
      </c>
      <c r="K24" s="43">
        <f t="shared" ref="K24:R24" si="11">J24*(1+$C$14)</f>
        <v>211700.47320000001</v>
      </c>
      <c r="L24" s="43">
        <f t="shared" si="11"/>
        <v>218051.48739600001</v>
      </c>
      <c r="M24" s="43">
        <f t="shared" si="11"/>
        <v>224593.03201788</v>
      </c>
      <c r="N24" s="43">
        <f t="shared" si="11"/>
        <v>231330.8229784164</v>
      </c>
      <c r="O24" s="43">
        <f t="shared" si="11"/>
        <v>238270.74766776891</v>
      </c>
      <c r="P24" s="43">
        <f t="shared" si="11"/>
        <v>245418.87009780199</v>
      </c>
      <c r="Q24" s="43">
        <f t="shared" si="11"/>
        <v>252781.43620073606</v>
      </c>
      <c r="R24" s="43">
        <f t="shared" si="11"/>
        <v>260364.87928675814</v>
      </c>
      <c r="S24" s="43"/>
    </row>
    <row r="25" spans="2:19" ht="13" x14ac:dyDescent="0.3">
      <c r="B25" s="19" t="s">
        <v>69</v>
      </c>
      <c r="E25" s="51"/>
      <c r="G25" s="90" t="s">
        <v>14</v>
      </c>
      <c r="H25" s="41"/>
      <c r="I25" s="98">
        <f>SUM(I18:I24)</f>
        <v>767493.3</v>
      </c>
      <c r="J25" s="98">
        <f t="shared" ref="J25:R25" si="12">SUM(J18:J24)</f>
        <v>790518.09899999993</v>
      </c>
      <c r="K25" s="98">
        <f t="shared" si="12"/>
        <v>814233.64197</v>
      </c>
      <c r="L25" s="98">
        <f t="shared" si="12"/>
        <v>838660.65122910007</v>
      </c>
      <c r="M25" s="98">
        <f t="shared" si="12"/>
        <v>863820.47076597309</v>
      </c>
      <c r="N25" s="98">
        <f t="shared" si="12"/>
        <v>889735.08488895232</v>
      </c>
      <c r="O25" s="98">
        <f t="shared" si="12"/>
        <v>916427.13743562088</v>
      </c>
      <c r="P25" s="98">
        <f t="shared" si="12"/>
        <v>943919.95155868959</v>
      </c>
      <c r="Q25" s="98">
        <f t="shared" si="12"/>
        <v>972237.55010545033</v>
      </c>
      <c r="R25" s="98">
        <f t="shared" si="12"/>
        <v>1001404.6766086138</v>
      </c>
      <c r="S25" s="42"/>
    </row>
    <row r="26" spans="2:19" ht="13" thickBot="1" x14ac:dyDescent="0.3">
      <c r="B26" s="1" t="s">
        <v>59</v>
      </c>
      <c r="C26" s="48">
        <v>0.7</v>
      </c>
      <c r="E26" s="51"/>
      <c r="G26" s="91" t="s">
        <v>15</v>
      </c>
      <c r="H26" s="41"/>
      <c r="I26" s="99">
        <f>SUM(I16-I25)</f>
        <v>1983578.7</v>
      </c>
      <c r="J26" s="99">
        <f t="shared" ref="J26:R26" si="13">SUM(J16-J25)</f>
        <v>2043086.0610000002</v>
      </c>
      <c r="K26" s="99">
        <f t="shared" si="13"/>
        <v>2104378.6428300003</v>
      </c>
      <c r="L26" s="99">
        <f t="shared" si="13"/>
        <v>2167510.0021149004</v>
      </c>
      <c r="M26" s="99">
        <f t="shared" si="13"/>
        <v>2232535.302178347</v>
      </c>
      <c r="N26" s="99">
        <f t="shared" si="13"/>
        <v>2299511.3612436973</v>
      </c>
      <c r="O26" s="99">
        <f t="shared" si="13"/>
        <v>2368496.7020810088</v>
      </c>
      <c r="P26" s="99">
        <f t="shared" si="13"/>
        <v>2439551.6031434392</v>
      </c>
      <c r="Q26" s="99">
        <f t="shared" si="13"/>
        <v>2512738.1512377425</v>
      </c>
      <c r="R26" s="99">
        <f t="shared" si="13"/>
        <v>2588120.2957748747</v>
      </c>
      <c r="S26" s="96">
        <v>2664733</v>
      </c>
    </row>
    <row r="27" spans="2:19" ht="13" x14ac:dyDescent="0.25">
      <c r="B27" s="1" t="s">
        <v>40</v>
      </c>
      <c r="C27" s="17">
        <v>27230000</v>
      </c>
      <c r="E27" s="51"/>
      <c r="G27" s="91" t="s">
        <v>16</v>
      </c>
      <c r="H27" s="47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2:19" x14ac:dyDescent="0.25">
      <c r="B28" s="1" t="s">
        <v>50</v>
      </c>
      <c r="C28" s="32">
        <v>5.5199999999999999E-2</v>
      </c>
      <c r="E28" s="51"/>
      <c r="G28" s="90" t="s">
        <v>17</v>
      </c>
      <c r="H28" s="41"/>
      <c r="I28" s="93"/>
      <c r="J28" s="93"/>
      <c r="K28" s="93">
        <v>230640</v>
      </c>
      <c r="L28" s="93"/>
      <c r="M28" s="93"/>
      <c r="N28" s="93"/>
      <c r="O28" s="93"/>
      <c r="P28" s="93">
        <v>595260</v>
      </c>
      <c r="Q28" s="93"/>
      <c r="R28" s="93"/>
      <c r="S28" s="15"/>
    </row>
    <row r="29" spans="2:19" x14ac:dyDescent="0.25">
      <c r="B29" s="1" t="s">
        <v>51</v>
      </c>
      <c r="C29" s="95">
        <v>30</v>
      </c>
      <c r="D29" s="1" t="s">
        <v>60</v>
      </c>
      <c r="E29" s="51"/>
      <c r="G29" s="90" t="s">
        <v>18</v>
      </c>
      <c r="H29" s="41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43"/>
    </row>
    <row r="30" spans="2:19" x14ac:dyDescent="0.25">
      <c r="B30" s="1" t="s">
        <v>44</v>
      </c>
      <c r="C30" s="49">
        <f>PMT(C28/12,C29*12,C27)*-1</f>
        <v>154950.80789100332</v>
      </c>
      <c r="E30" s="51"/>
      <c r="G30" s="91" t="s">
        <v>19</v>
      </c>
      <c r="H30" s="41"/>
      <c r="I30" s="98">
        <f>SUM(I28,I29)</f>
        <v>0</v>
      </c>
      <c r="J30" s="98">
        <f t="shared" ref="J30:R30" si="14">SUM(J28,J29)</f>
        <v>0</v>
      </c>
      <c r="K30" s="98">
        <f t="shared" si="14"/>
        <v>230640</v>
      </c>
      <c r="L30" s="98">
        <f t="shared" si="14"/>
        <v>0</v>
      </c>
      <c r="M30" s="98">
        <f t="shared" si="14"/>
        <v>0</v>
      </c>
      <c r="N30" s="98">
        <f t="shared" si="14"/>
        <v>0</v>
      </c>
      <c r="O30" s="98">
        <f t="shared" si="14"/>
        <v>0</v>
      </c>
      <c r="P30" s="98">
        <f t="shared" si="14"/>
        <v>595260</v>
      </c>
      <c r="Q30" s="98">
        <f t="shared" si="14"/>
        <v>0</v>
      </c>
      <c r="R30" s="98">
        <f t="shared" si="14"/>
        <v>0</v>
      </c>
      <c r="S30" s="42"/>
    </row>
    <row r="31" spans="2:19" ht="13" x14ac:dyDescent="0.25">
      <c r="E31" s="51"/>
      <c r="G31" s="91" t="s">
        <v>20</v>
      </c>
      <c r="H31" s="47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</row>
    <row r="32" spans="2:19" x14ac:dyDescent="0.25">
      <c r="E32" s="51"/>
      <c r="G32" s="90" t="s">
        <v>21</v>
      </c>
      <c r="H32" s="41"/>
      <c r="I32" s="43">
        <f>$C$13*175000</f>
        <v>35000</v>
      </c>
      <c r="J32" s="43">
        <f t="shared" ref="J32:R32" si="15">I32*(1+$C$14)</f>
        <v>36050</v>
      </c>
      <c r="K32" s="43">
        <f t="shared" si="15"/>
        <v>37131.5</v>
      </c>
      <c r="L32" s="43">
        <f t="shared" si="15"/>
        <v>38245.445</v>
      </c>
      <c r="M32" s="43">
        <f t="shared" si="15"/>
        <v>39392.808349999999</v>
      </c>
      <c r="N32" s="43">
        <f t="shared" si="15"/>
        <v>40574.5926005</v>
      </c>
      <c r="O32" s="43">
        <f t="shared" si="15"/>
        <v>41791.830378514998</v>
      </c>
      <c r="P32" s="43">
        <f t="shared" si="15"/>
        <v>43045.585289870447</v>
      </c>
      <c r="Q32" s="43">
        <f t="shared" si="15"/>
        <v>44336.952848566565</v>
      </c>
      <c r="R32" s="43">
        <f t="shared" si="15"/>
        <v>45667.061434023562</v>
      </c>
      <c r="S32" s="43"/>
    </row>
    <row r="33" spans="1:23" ht="13" x14ac:dyDescent="0.3">
      <c r="E33" s="51"/>
      <c r="G33" s="91" t="s">
        <v>22</v>
      </c>
      <c r="H33" s="41"/>
      <c r="I33" s="98">
        <f>SUM(I30,I32)</f>
        <v>35000</v>
      </c>
      <c r="J33" s="98">
        <f t="shared" ref="J33:R33" si="16">SUM(J30,J32)</f>
        <v>36050</v>
      </c>
      <c r="K33" s="98">
        <f t="shared" si="16"/>
        <v>267771.5</v>
      </c>
      <c r="L33" s="98">
        <f t="shared" si="16"/>
        <v>38245.445</v>
      </c>
      <c r="M33" s="98">
        <f t="shared" si="16"/>
        <v>39392.808349999999</v>
      </c>
      <c r="N33" s="98">
        <f t="shared" si="16"/>
        <v>40574.5926005</v>
      </c>
      <c r="O33" s="98">
        <f t="shared" si="16"/>
        <v>41791.830378514998</v>
      </c>
      <c r="P33" s="98">
        <f t="shared" si="16"/>
        <v>638305.58528987039</v>
      </c>
      <c r="Q33" s="98">
        <f t="shared" si="16"/>
        <v>44336.952848566565</v>
      </c>
      <c r="R33" s="98">
        <f t="shared" si="16"/>
        <v>45667.061434023562</v>
      </c>
      <c r="S33" s="42"/>
      <c r="V33" s="28"/>
      <c r="W33" s="29"/>
    </row>
    <row r="34" spans="1:23" ht="13.5" thickBot="1" x14ac:dyDescent="0.35">
      <c r="B34" s="114" t="s">
        <v>102</v>
      </c>
      <c r="C34" s="114"/>
      <c r="E34" s="51"/>
      <c r="G34" s="91" t="s">
        <v>39</v>
      </c>
      <c r="H34" s="41"/>
      <c r="I34" s="100">
        <f>SUM(I26-I33)</f>
        <v>1948578.7</v>
      </c>
      <c r="J34" s="100">
        <f t="shared" ref="J34:R34" si="17">SUM(J26-J33)</f>
        <v>2007036.0610000002</v>
      </c>
      <c r="K34" s="100">
        <f t="shared" si="17"/>
        <v>1836607.1428300003</v>
      </c>
      <c r="L34" s="100">
        <f t="shared" si="17"/>
        <v>2129264.5571149006</v>
      </c>
      <c r="M34" s="100">
        <f t="shared" si="17"/>
        <v>2193142.493828347</v>
      </c>
      <c r="N34" s="100">
        <f t="shared" si="17"/>
        <v>2258936.7686431971</v>
      </c>
      <c r="O34" s="100">
        <f t="shared" si="17"/>
        <v>2326704.8717024936</v>
      </c>
      <c r="P34" s="100">
        <f t="shared" si="17"/>
        <v>1801246.0178535688</v>
      </c>
      <c r="Q34" s="100">
        <f t="shared" si="17"/>
        <v>2468401.1983891758</v>
      </c>
      <c r="R34" s="100">
        <f t="shared" si="17"/>
        <v>2542453.2343408512</v>
      </c>
      <c r="S34" s="46"/>
      <c r="V34" s="28"/>
      <c r="W34" s="29"/>
    </row>
    <row r="35" spans="1:23" ht="13" x14ac:dyDescent="0.3">
      <c r="E35" s="51"/>
      <c r="V35" s="28"/>
      <c r="W35" s="29"/>
    </row>
    <row r="36" spans="1:23" ht="13" x14ac:dyDescent="0.3">
      <c r="E36" s="51"/>
      <c r="G36" s="22" t="s">
        <v>85</v>
      </c>
      <c r="H36" s="31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V36" s="28"/>
      <c r="W36" s="29"/>
    </row>
    <row r="37" spans="1:23" ht="13" x14ac:dyDescent="0.3">
      <c r="E37" s="5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V37" s="28"/>
      <c r="W37" s="29"/>
    </row>
    <row r="38" spans="1:23" ht="13" x14ac:dyDescent="0.3">
      <c r="A38" s="33"/>
      <c r="B38" s="33"/>
      <c r="C38" s="19"/>
      <c r="E38" s="51"/>
      <c r="G38" s="85" t="s">
        <v>36</v>
      </c>
      <c r="H38" s="97">
        <f>-C6</f>
        <v>-38900000</v>
      </c>
      <c r="V38" s="28"/>
      <c r="W38" s="29"/>
    </row>
    <row r="39" spans="1:23" ht="13" x14ac:dyDescent="0.3">
      <c r="E39" s="51"/>
      <c r="G39" s="85" t="s">
        <v>39</v>
      </c>
      <c r="H39" s="18"/>
      <c r="I39" s="97">
        <f>I34</f>
        <v>1948578.7</v>
      </c>
      <c r="J39" s="97">
        <f t="shared" ref="J39:R39" si="18">J34</f>
        <v>2007036.0610000002</v>
      </c>
      <c r="K39" s="97">
        <f t="shared" si="18"/>
        <v>1836607.1428300003</v>
      </c>
      <c r="L39" s="97">
        <f t="shared" si="18"/>
        <v>2129264.5571149006</v>
      </c>
      <c r="M39" s="97">
        <f t="shared" si="18"/>
        <v>2193142.493828347</v>
      </c>
      <c r="N39" s="97">
        <f t="shared" si="18"/>
        <v>2258936.7686431971</v>
      </c>
      <c r="O39" s="97">
        <f t="shared" si="18"/>
        <v>2326704.8717024936</v>
      </c>
      <c r="P39" s="97">
        <f t="shared" si="18"/>
        <v>1801246.0178535688</v>
      </c>
      <c r="Q39" s="97">
        <f t="shared" si="18"/>
        <v>2468401.1983891758</v>
      </c>
      <c r="R39" s="97">
        <f t="shared" si="18"/>
        <v>2542453.2343408512</v>
      </c>
      <c r="V39" s="28"/>
      <c r="W39" s="29"/>
    </row>
    <row r="40" spans="1:23" ht="13" x14ac:dyDescent="0.3">
      <c r="E40" s="51"/>
      <c r="G40" s="85" t="s">
        <v>56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97">
        <f>C23</f>
        <v>39670461.203007519</v>
      </c>
      <c r="V40" s="28"/>
      <c r="W40" s="29"/>
    </row>
    <row r="41" spans="1:23" ht="13.5" thickBot="1" x14ac:dyDescent="0.35">
      <c r="E41" s="51"/>
      <c r="G41" s="85" t="s">
        <v>38</v>
      </c>
      <c r="H41" s="101">
        <f>H38</f>
        <v>-38900000</v>
      </c>
      <c r="I41" s="101">
        <f>I39</f>
        <v>1948578.7</v>
      </c>
      <c r="J41" s="101">
        <f t="shared" ref="J41:Q41" si="19">J39</f>
        <v>2007036.0610000002</v>
      </c>
      <c r="K41" s="101">
        <f t="shared" si="19"/>
        <v>1836607.1428300003</v>
      </c>
      <c r="L41" s="101">
        <f t="shared" si="19"/>
        <v>2129264.5571149006</v>
      </c>
      <c r="M41" s="101">
        <f t="shared" si="19"/>
        <v>2193142.493828347</v>
      </c>
      <c r="N41" s="101">
        <f t="shared" si="19"/>
        <v>2258936.7686431971</v>
      </c>
      <c r="O41" s="101">
        <f t="shared" si="19"/>
        <v>2326704.8717024936</v>
      </c>
      <c r="P41" s="101">
        <f t="shared" si="19"/>
        <v>1801246.0178535688</v>
      </c>
      <c r="Q41" s="101">
        <f t="shared" si="19"/>
        <v>2468401.1983891758</v>
      </c>
      <c r="R41" s="101">
        <f>R39+R40</f>
        <v>42212914.437348373</v>
      </c>
      <c r="V41" s="28"/>
      <c r="W41" s="29"/>
    </row>
    <row r="42" spans="1:23" ht="13" x14ac:dyDescent="0.3">
      <c r="E42" s="51"/>
      <c r="V42" s="28"/>
      <c r="W42" s="29"/>
    </row>
    <row r="43" spans="1:23" ht="13" x14ac:dyDescent="0.3">
      <c r="E43" s="51"/>
      <c r="G43" s="92" t="s">
        <v>37</v>
      </c>
      <c r="H43" s="102">
        <f>IRR(H41:R41)</f>
        <v>5.6205811411655704E-2</v>
      </c>
      <c r="V43" s="28"/>
      <c r="W43" s="29"/>
    </row>
    <row r="44" spans="1:23" ht="13" x14ac:dyDescent="0.3">
      <c r="E44" s="51"/>
      <c r="G44" s="21"/>
      <c r="H44" s="21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V44" s="28"/>
      <c r="W44" s="29"/>
    </row>
    <row r="45" spans="1:23" ht="13" x14ac:dyDescent="0.3">
      <c r="E45" s="51"/>
      <c r="G45" s="22" t="s">
        <v>86</v>
      </c>
      <c r="H45" s="111" t="s">
        <v>103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V45" s="28"/>
      <c r="W45" s="29"/>
    </row>
    <row r="46" spans="1:23" ht="13" x14ac:dyDescent="0.3">
      <c r="E46" s="51"/>
      <c r="G46" s="21"/>
      <c r="H46" s="21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V46" s="28"/>
      <c r="W46" s="29"/>
    </row>
    <row r="47" spans="1:23" ht="13" x14ac:dyDescent="0.3">
      <c r="D47" s="26"/>
      <c r="E47" s="51"/>
      <c r="G47" s="45" t="s">
        <v>46</v>
      </c>
      <c r="H47" s="21"/>
      <c r="I47" s="30">
        <f t="shared" ref="I47:R47" si="20">PV($C$28/12,($C$29-(I2-1))*12,-$C$30)</f>
        <v>27229999.999999844</v>
      </c>
      <c r="J47" s="30">
        <f t="shared" si="20"/>
        <v>26864531.901647884</v>
      </c>
      <c r="K47" s="30">
        <f t="shared" si="20"/>
        <v>26478371.658435289</v>
      </c>
      <c r="L47" s="30">
        <f t="shared" si="20"/>
        <v>26070347.718423963</v>
      </c>
      <c r="M47" s="30">
        <f t="shared" si="20"/>
        <v>25639222.198517174</v>
      </c>
      <c r="N47" s="30">
        <f t="shared" si="20"/>
        <v>25183687.128908891</v>
      </c>
      <c r="O47" s="30">
        <f t="shared" si="20"/>
        <v>24702360.484900713</v>
      </c>
      <c r="P47" s="30">
        <f t="shared" si="20"/>
        <v>24193781.994047306</v>
      </c>
      <c r="Q47" s="30">
        <f t="shared" si="20"/>
        <v>23656408.70591009</v>
      </c>
      <c r="R47" s="30">
        <f t="shared" si="20"/>
        <v>23088610.310978286</v>
      </c>
      <c r="S47" s="30"/>
      <c r="V47" s="28"/>
      <c r="W47" s="29"/>
    </row>
    <row r="48" spans="1:23" ht="13" x14ac:dyDescent="0.3">
      <c r="E48" s="51"/>
      <c r="G48" s="45" t="s">
        <v>57</v>
      </c>
      <c r="H48" s="21"/>
      <c r="I48" s="30">
        <f>VLOOKUP(I$2,'Loan Amortization_BLANK'!$J$15:$N$44,2,FALSE)</f>
        <v>1859409.6946920399</v>
      </c>
      <c r="J48" s="30">
        <f>VLOOKUP(J$2,'Loan Amortization_BLANK'!$J$15:$N$44,2,FALSE)</f>
        <v>1859409.6946920399</v>
      </c>
      <c r="K48" s="30">
        <f>VLOOKUP(K$2,'Loan Amortization_BLANK'!$J$15:$N$44,2,FALSE)</f>
        <v>1859409.6946920399</v>
      </c>
      <c r="L48" s="30">
        <f>VLOOKUP(L$2,'Loan Amortization_BLANK'!$J$15:$N$44,2,FALSE)</f>
        <v>1859409.6946920399</v>
      </c>
      <c r="M48" s="30">
        <f>VLOOKUP(M$2,'Loan Amortization_BLANK'!$J$15:$N$44,2,FALSE)</f>
        <v>1859409.6946920399</v>
      </c>
      <c r="N48" s="30">
        <f>VLOOKUP(N$2,'Loan Amortization_BLANK'!$J$15:$N$44,2,FALSE)</f>
        <v>1859409.6946920399</v>
      </c>
      <c r="O48" s="30">
        <f>VLOOKUP(O$2,'Loan Amortization_BLANK'!$J$15:$N$44,2,FALSE)</f>
        <v>1859409.6946920399</v>
      </c>
      <c r="P48" s="30">
        <f>VLOOKUP(P$2,'Loan Amortization_BLANK'!$J$15:$N$44,2,FALSE)</f>
        <v>1859409.6946920399</v>
      </c>
      <c r="Q48" s="30">
        <f>VLOOKUP(Q$2,'Loan Amortization_BLANK'!$J$15:$N$44,2,FALSE)</f>
        <v>1859409.6946920399</v>
      </c>
      <c r="R48" s="30">
        <f>VLOOKUP(R$2,'Loan Amortization_BLANK'!$J$15:$N$44,2,FALSE)</f>
        <v>1859409.6946920399</v>
      </c>
      <c r="S48" s="30"/>
      <c r="V48" s="28"/>
      <c r="W48" s="29"/>
    </row>
    <row r="49" spans="5:23" ht="13" x14ac:dyDescent="0.3">
      <c r="E49" s="51"/>
      <c r="G49" s="45" t="s">
        <v>47</v>
      </c>
      <c r="H49" s="21"/>
      <c r="I49" s="30">
        <f>VLOOKUP(I$2,'Loan Amortization_BLANK'!$J$15:$N$44,3,FALSE)</f>
        <v>1493941.5963400858</v>
      </c>
      <c r="J49" s="30">
        <f>VLOOKUP(J$2,'Loan Amortization_BLANK'!$J$15:$N$44,3,FALSE)</f>
        <v>1473249.4514794466</v>
      </c>
      <c r="K49" s="30">
        <f>VLOOKUP(K$2,'Loan Amortization_BLANK'!$J$15:$N$44,3,FALSE)</f>
        <v>1451385.7546807197</v>
      </c>
      <c r="L49" s="30">
        <f>VLOOKUP(L$2,'Loan Amortization_BLANK'!$J$15:$N$44,3,FALSE)</f>
        <v>1428284.1747852501</v>
      </c>
      <c r="M49" s="30">
        <f>VLOOKUP(M$2,'Loan Amortization_BLANK'!$J$15:$N$44,3,FALSE)</f>
        <v>1403874.6250837636</v>
      </c>
      <c r="N49" s="30">
        <f>VLOOKUP(N$2,'Loan Amortization_BLANK'!$J$15:$N$44,3,FALSE)</f>
        <v>1378083.05068386</v>
      </c>
      <c r="O49" s="30">
        <f>VLOOKUP(O$2,'Loan Amortization_BLANK'!$J$15:$N$44,3,FALSE)</f>
        <v>1350831.2038386364</v>
      </c>
      <c r="P49" s="30">
        <f>VLOOKUP(P$2,'Loan Amortization_BLANK'!$J$15:$N$44,3,FALSE)</f>
        <v>1322036.4065548263</v>
      </c>
      <c r="Q49" s="30">
        <f>VLOOKUP(Q$2,'Loan Amortization_BLANK'!$J$15:$N$44,3,FALSE)</f>
        <v>1291611.2997602383</v>
      </c>
      <c r="R49" s="30">
        <f>VLOOKUP(R$2,'Loan Amortization_BLANK'!$J$15:$N$44,3,FALSE)</f>
        <v>1259463.5782695035</v>
      </c>
      <c r="S49" s="30"/>
      <c r="V49" s="28"/>
      <c r="W49" s="29"/>
    </row>
    <row r="50" spans="5:23" ht="13" x14ac:dyDescent="0.3">
      <c r="E50" s="51"/>
      <c r="G50" s="45" t="s">
        <v>48</v>
      </c>
      <c r="H50" s="21"/>
      <c r="I50" s="30">
        <f>VLOOKUP(I$2,'Loan Amortization_BLANK'!$J$15:$N$44,4,FALSE)</f>
        <v>365468.0983519539</v>
      </c>
      <c r="J50" s="30">
        <f>VLOOKUP(J$2,'Loan Amortization_BLANK'!$J$15:$N$44,4,FALSE)</f>
        <v>386160.24321259314</v>
      </c>
      <c r="K50" s="30">
        <f>VLOOKUP(K$2,'Loan Amortization_BLANK'!$J$15:$N$44,4,FALSE)</f>
        <v>408023.9400113204</v>
      </c>
      <c r="L50" s="30">
        <f>VLOOKUP(L$2,'Loan Amortization_BLANK'!$J$15:$N$44,4,FALSE)</f>
        <v>431125.51990678976</v>
      </c>
      <c r="M50" s="30">
        <f>VLOOKUP(M$2,'Loan Amortization_BLANK'!$J$15:$N$44,4,FALSE)</f>
        <v>455535.06960827584</v>
      </c>
      <c r="N50" s="30">
        <f>VLOOKUP(N$2,'Loan Amortization_BLANK'!$J$15:$N$44,4,FALSE)</f>
        <v>481326.64400817989</v>
      </c>
      <c r="O50" s="30">
        <f>VLOOKUP(O$2,'Loan Amortization_BLANK'!$J$15:$N$44,4,FALSE)</f>
        <v>508578.49085340369</v>
      </c>
      <c r="P50" s="30">
        <f>VLOOKUP(P$2,'Loan Amortization_BLANK'!$J$15:$N$44,4,FALSE)</f>
        <v>537373.28813721356</v>
      </c>
      <c r="Q50" s="30">
        <f>VLOOKUP(Q$2,'Loan Amortization_BLANK'!$J$15:$N$44,4,FALSE)</f>
        <v>567798.39493180136</v>
      </c>
      <c r="R50" s="30">
        <f>VLOOKUP(R$2,'Loan Amortization_BLANK'!$J$15:$N$44,4,FALSE)</f>
        <v>599946.11642253632</v>
      </c>
      <c r="S50" s="30"/>
      <c r="V50" s="28"/>
      <c r="W50" s="29"/>
    </row>
    <row r="51" spans="5:23" ht="13" x14ac:dyDescent="0.3">
      <c r="E51" s="51"/>
      <c r="G51" s="45" t="s">
        <v>49</v>
      </c>
      <c r="H51" s="21"/>
      <c r="I51" s="30">
        <f>VLOOKUP(I$2,'Loan Amortization_BLANK'!$J$15:$N$44,5,FALSE)</f>
        <v>26864531.901648045</v>
      </c>
      <c r="J51" s="30">
        <f>VLOOKUP(J$2,'Loan Amortization_BLANK'!$J$15:$N$44,5,FALSE)</f>
        <v>26478371.658435453</v>
      </c>
      <c r="K51" s="30">
        <f>VLOOKUP(K$2,'Loan Amortization_BLANK'!$J$15:$N$44,5,FALSE)</f>
        <v>26070347.718424134</v>
      </c>
      <c r="L51" s="30">
        <f>VLOOKUP(L$2,'Loan Amortization_BLANK'!$J$15:$N$44,5,FALSE)</f>
        <v>25639222.198517349</v>
      </c>
      <c r="M51" s="30">
        <f>VLOOKUP(M$2,'Loan Amortization_BLANK'!$J$15:$N$44,5,FALSE)</f>
        <v>25183687.12890907</v>
      </c>
      <c r="N51" s="30">
        <f>VLOOKUP(N$2,'Loan Amortization_BLANK'!$J$15:$N$44,5,FALSE)</f>
        <v>24702360.484900884</v>
      </c>
      <c r="O51" s="30">
        <f>VLOOKUP(O$2,'Loan Amortization_BLANK'!$J$15:$N$44,5,FALSE)</f>
        <v>24193781.994047478</v>
      </c>
      <c r="P51" s="30">
        <f>VLOOKUP(P$2,'Loan Amortization_BLANK'!$J$15:$N$44,5,FALSE)</f>
        <v>23656408.705910258</v>
      </c>
      <c r="Q51" s="30">
        <f>VLOOKUP(Q$2,'Loan Amortization_BLANK'!$J$15:$N$44,5,FALSE)</f>
        <v>23088610.310978461</v>
      </c>
      <c r="R51" s="30">
        <f>VLOOKUP(R$2,'Loan Amortization_BLANK'!$J$15:$N$44,5,FALSE)</f>
        <v>22488664.194555935</v>
      </c>
      <c r="S51" s="30"/>
      <c r="V51" s="28"/>
      <c r="W51" s="29"/>
    </row>
    <row r="52" spans="5:23" ht="13" x14ac:dyDescent="0.3">
      <c r="E52" s="51"/>
      <c r="G52" s="85"/>
      <c r="H52" s="21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V52" s="28"/>
      <c r="W52" s="29"/>
    </row>
    <row r="53" spans="5:23" ht="13" x14ac:dyDescent="0.3">
      <c r="E53" s="51"/>
      <c r="G53" s="22" t="s">
        <v>88</v>
      </c>
      <c r="H53" s="21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V53" s="28"/>
      <c r="W53" s="29"/>
    </row>
    <row r="54" spans="5:23" ht="13" x14ac:dyDescent="0.3">
      <c r="E54" s="51"/>
      <c r="G54" s="45"/>
      <c r="H54" s="21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V54" s="28"/>
      <c r="W54" s="29"/>
    </row>
    <row r="55" spans="5:23" ht="13" x14ac:dyDescent="0.3">
      <c r="E55" s="51"/>
      <c r="G55" s="45" t="s">
        <v>73</v>
      </c>
      <c r="H55" s="104">
        <v>-27230000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V55" s="28"/>
      <c r="W55" s="29"/>
    </row>
    <row r="56" spans="5:23" ht="13" x14ac:dyDescent="0.3">
      <c r="E56" s="51"/>
      <c r="G56" s="85" t="s">
        <v>75</v>
      </c>
      <c r="H56" s="21"/>
      <c r="I56" s="105">
        <f>I48</f>
        <v>1859409.6946920399</v>
      </c>
      <c r="J56" s="105">
        <f t="shared" ref="J56:R56" si="21">J48</f>
        <v>1859409.6946920399</v>
      </c>
      <c r="K56" s="105">
        <f t="shared" si="21"/>
        <v>1859409.6946920399</v>
      </c>
      <c r="L56" s="105">
        <f t="shared" si="21"/>
        <v>1859409.6946920399</v>
      </c>
      <c r="M56" s="105">
        <f t="shared" si="21"/>
        <v>1859409.6946920399</v>
      </c>
      <c r="N56" s="105">
        <f t="shared" si="21"/>
        <v>1859409.6946920399</v>
      </c>
      <c r="O56" s="105">
        <f t="shared" si="21"/>
        <v>1859409.6946920399</v>
      </c>
      <c r="P56" s="105">
        <f t="shared" si="21"/>
        <v>1859409.6946920399</v>
      </c>
      <c r="Q56" s="105">
        <f t="shared" si="21"/>
        <v>1859409.6946920399</v>
      </c>
      <c r="R56" s="105">
        <f t="shared" si="21"/>
        <v>1859409.6946920399</v>
      </c>
      <c r="S56" s="30"/>
      <c r="V56" s="28"/>
      <c r="W56" s="29"/>
    </row>
    <row r="57" spans="5:23" ht="13" x14ac:dyDescent="0.3">
      <c r="E57" s="51"/>
      <c r="G57" s="45" t="s">
        <v>74</v>
      </c>
      <c r="H57" s="44"/>
      <c r="I57" s="84"/>
      <c r="J57" s="84"/>
      <c r="K57" s="84"/>
      <c r="L57" s="84"/>
      <c r="M57" s="84"/>
      <c r="N57" s="84"/>
      <c r="O57" s="84"/>
      <c r="P57" s="84"/>
      <c r="Q57" s="84"/>
      <c r="R57" s="106">
        <f>R51</f>
        <v>22488664.194555935</v>
      </c>
      <c r="S57" s="30"/>
      <c r="V57" s="28"/>
      <c r="W57" s="29"/>
    </row>
    <row r="58" spans="5:23" ht="13.5" thickBot="1" x14ac:dyDescent="0.35">
      <c r="E58" s="51"/>
      <c r="G58" s="45" t="s">
        <v>58</v>
      </c>
      <c r="H58" s="100">
        <f>H55</f>
        <v>-27230000</v>
      </c>
      <c r="I58" s="100">
        <f>I56</f>
        <v>1859409.6946920399</v>
      </c>
      <c r="J58" s="100">
        <f t="shared" ref="J58:Q58" si="22">J56</f>
        <v>1859409.6946920399</v>
      </c>
      <c r="K58" s="100">
        <f t="shared" si="22"/>
        <v>1859409.6946920399</v>
      </c>
      <c r="L58" s="100">
        <f t="shared" si="22"/>
        <v>1859409.6946920399</v>
      </c>
      <c r="M58" s="100">
        <f t="shared" si="22"/>
        <v>1859409.6946920399</v>
      </c>
      <c r="N58" s="100">
        <f t="shared" si="22"/>
        <v>1859409.6946920399</v>
      </c>
      <c r="O58" s="100">
        <f t="shared" si="22"/>
        <v>1859409.6946920399</v>
      </c>
      <c r="P58" s="100">
        <f t="shared" si="22"/>
        <v>1859409.6946920399</v>
      </c>
      <c r="Q58" s="100">
        <f t="shared" si="22"/>
        <v>1859409.6946920399</v>
      </c>
      <c r="R58" s="100">
        <f>R56+R57</f>
        <v>24348073.889247976</v>
      </c>
      <c r="S58" s="30"/>
      <c r="V58" s="28"/>
      <c r="W58" s="29"/>
    </row>
    <row r="59" spans="5:23" ht="13" x14ac:dyDescent="0.3">
      <c r="E59" s="51"/>
      <c r="G59" s="21"/>
      <c r="H59" s="21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V59" s="28"/>
      <c r="W59" s="29"/>
    </row>
    <row r="60" spans="5:23" x14ac:dyDescent="0.25">
      <c r="E60" s="51"/>
      <c r="G60" s="92" t="s">
        <v>82</v>
      </c>
      <c r="H60" s="102">
        <f>IRR(H58:R58)</f>
        <v>5.474556776111994E-2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</row>
    <row r="61" spans="5:23" x14ac:dyDescent="0.25">
      <c r="E61" s="51"/>
    </row>
    <row r="62" spans="5:23" ht="13" x14ac:dyDescent="0.3">
      <c r="E62" s="51"/>
      <c r="G62" s="19" t="s">
        <v>87</v>
      </c>
      <c r="H62" s="16"/>
    </row>
    <row r="63" spans="5:23" x14ac:dyDescent="0.25">
      <c r="E63" s="51"/>
    </row>
    <row r="64" spans="5:23" x14ac:dyDescent="0.25">
      <c r="E64" s="51"/>
      <c r="G64" s="85" t="s">
        <v>83</v>
      </c>
      <c r="H64" s="107">
        <f>(SUM(-C6+C27))</f>
        <v>-11670000</v>
      </c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5:19" x14ac:dyDescent="0.25">
      <c r="E65" s="51"/>
      <c r="G65" s="85" t="s">
        <v>84</v>
      </c>
      <c r="I65" s="97">
        <f>SUM(I34-I56)</f>
        <v>89169.005307960091</v>
      </c>
      <c r="J65" s="97">
        <f t="shared" ref="J65:R65" si="23">SUM(J34-J56)</f>
        <v>147626.36630796036</v>
      </c>
      <c r="K65" s="97">
        <f t="shared" si="23"/>
        <v>-22802.551862039603</v>
      </c>
      <c r="L65" s="97">
        <f t="shared" si="23"/>
        <v>269854.86242286069</v>
      </c>
      <c r="M65" s="97">
        <f t="shared" si="23"/>
        <v>333732.79913630709</v>
      </c>
      <c r="N65" s="97">
        <f t="shared" si="23"/>
        <v>399527.07395115728</v>
      </c>
      <c r="O65" s="97">
        <f t="shared" si="23"/>
        <v>467295.17701045377</v>
      </c>
      <c r="P65" s="97">
        <f t="shared" si="23"/>
        <v>-58163.676838471089</v>
      </c>
      <c r="Q65" s="97">
        <f t="shared" si="23"/>
        <v>608991.50369713595</v>
      </c>
      <c r="R65" s="97">
        <f t="shared" si="23"/>
        <v>683043.53964881133</v>
      </c>
      <c r="S65" s="18"/>
    </row>
    <row r="66" spans="5:19" x14ac:dyDescent="0.25">
      <c r="E66" s="51"/>
      <c r="G66" s="85" t="s">
        <v>34</v>
      </c>
      <c r="I66" s="18"/>
      <c r="J66" s="18"/>
      <c r="K66" s="18"/>
      <c r="L66" s="18"/>
      <c r="M66" s="18"/>
      <c r="N66" s="18"/>
      <c r="O66" s="18"/>
      <c r="P66" s="18"/>
      <c r="Q66" s="18"/>
      <c r="R66" s="97">
        <f>SUM(R40-R57)</f>
        <v>17181797.008451585</v>
      </c>
      <c r="S66" s="18"/>
    </row>
    <row r="67" spans="5:19" ht="13" thickBot="1" x14ac:dyDescent="0.3">
      <c r="E67" s="51"/>
      <c r="G67" s="85" t="s">
        <v>38</v>
      </c>
      <c r="H67" s="101">
        <f>H64</f>
        <v>-11670000</v>
      </c>
      <c r="I67" s="101">
        <f>I65</f>
        <v>89169.005307960091</v>
      </c>
      <c r="J67" s="101">
        <f t="shared" ref="J67:Q67" si="24">J65</f>
        <v>147626.36630796036</v>
      </c>
      <c r="K67" s="101">
        <f t="shared" si="24"/>
        <v>-22802.551862039603</v>
      </c>
      <c r="L67" s="101">
        <f t="shared" si="24"/>
        <v>269854.86242286069</v>
      </c>
      <c r="M67" s="101">
        <f t="shared" si="24"/>
        <v>333732.79913630709</v>
      </c>
      <c r="N67" s="101">
        <f t="shared" si="24"/>
        <v>399527.07395115728</v>
      </c>
      <c r="O67" s="101">
        <f t="shared" si="24"/>
        <v>467295.17701045377</v>
      </c>
      <c r="P67" s="101">
        <f t="shared" si="24"/>
        <v>-58163.676838471089</v>
      </c>
      <c r="Q67" s="101">
        <f t="shared" si="24"/>
        <v>608991.50369713595</v>
      </c>
      <c r="R67" s="101">
        <f>R65+R66</f>
        <v>17864840.548100397</v>
      </c>
      <c r="S67" s="18"/>
    </row>
    <row r="68" spans="5:19" x14ac:dyDescent="0.25">
      <c r="E68" s="51"/>
    </row>
    <row r="69" spans="5:19" x14ac:dyDescent="0.25">
      <c r="E69" s="51"/>
      <c r="G69" s="92" t="s">
        <v>55</v>
      </c>
      <c r="H69" s="102">
        <f>IRR(H67:R67)</f>
        <v>5.8854201313499166E-2</v>
      </c>
    </row>
    <row r="70" spans="5:19" x14ac:dyDescent="0.25">
      <c r="E70" s="51"/>
      <c r="S70" s="2"/>
    </row>
    <row r="71" spans="5:19" ht="13" x14ac:dyDescent="0.3">
      <c r="E71" s="51"/>
      <c r="G71" s="19" t="s">
        <v>93</v>
      </c>
      <c r="S71" s="2"/>
    </row>
    <row r="72" spans="5:19" x14ac:dyDescent="0.25">
      <c r="E72" s="51"/>
      <c r="S72" s="2"/>
    </row>
    <row r="73" spans="5:19" x14ac:dyDescent="0.25">
      <c r="E73" s="51"/>
      <c r="G73" s="85" t="s">
        <v>94</v>
      </c>
      <c r="S73" s="2"/>
    </row>
    <row r="74" spans="5:19" ht="14" x14ac:dyDescent="0.25">
      <c r="E74" s="51"/>
      <c r="G74" s="90" t="s">
        <v>37</v>
      </c>
      <c r="H74" s="39"/>
      <c r="I74" s="108">
        <f>H43</f>
        <v>5.6205811411655704E-2</v>
      </c>
      <c r="S74" s="2"/>
    </row>
    <row r="75" spans="5:19" x14ac:dyDescent="0.25">
      <c r="E75" s="51"/>
      <c r="G75" s="89" t="s">
        <v>55</v>
      </c>
      <c r="I75" s="109">
        <f>H69</f>
        <v>5.8854201313499166E-2</v>
      </c>
      <c r="S75" s="2"/>
    </row>
    <row r="76" spans="5:19" x14ac:dyDescent="0.25">
      <c r="E76" s="51"/>
      <c r="G76" s="89" t="s">
        <v>92</v>
      </c>
      <c r="I76" s="110">
        <f>SUM(I67:R67)/-H67</f>
        <v>1.7223711317252546</v>
      </c>
      <c r="S76" s="2"/>
    </row>
    <row r="77" spans="5:19" x14ac:dyDescent="0.25">
      <c r="E77" s="51"/>
      <c r="I77" s="1" t="s">
        <v>104</v>
      </c>
      <c r="S77" s="2"/>
    </row>
    <row r="78" spans="5:19" x14ac:dyDescent="0.25">
      <c r="E78" s="51"/>
      <c r="G78" s="85" t="s">
        <v>95</v>
      </c>
      <c r="S78" s="2"/>
    </row>
    <row r="79" spans="5:19" x14ac:dyDescent="0.25">
      <c r="E79" s="51"/>
      <c r="G79" s="90" t="s">
        <v>90</v>
      </c>
      <c r="I79" s="109">
        <f>I26/$C$6</f>
        <v>5.0991740359897168E-2</v>
      </c>
      <c r="J79" s="109">
        <f t="shared" ref="J79:R79" si="25">J26/$C$6</f>
        <v>5.2521492570694092E-2</v>
      </c>
      <c r="K79" s="109">
        <f t="shared" si="25"/>
        <v>5.4097137347814919E-2</v>
      </c>
      <c r="L79" s="109">
        <f t="shared" si="25"/>
        <v>5.5720051468249369E-2</v>
      </c>
      <c r="M79" s="109">
        <f t="shared" si="25"/>
        <v>5.7391653012296838E-2</v>
      </c>
      <c r="N79" s="109">
        <f t="shared" si="25"/>
        <v>5.9113402602665739E-2</v>
      </c>
      <c r="O79" s="109">
        <f t="shared" si="25"/>
        <v>6.0886804680745726E-2</v>
      </c>
      <c r="P79" s="109">
        <f t="shared" si="25"/>
        <v>6.2713408821168104E-2</v>
      </c>
      <c r="Q79" s="109">
        <f t="shared" si="25"/>
        <v>6.4594811085803144E-2</v>
      </c>
      <c r="R79" s="109">
        <f t="shared" si="25"/>
        <v>6.6532655418377246E-2</v>
      </c>
    </row>
    <row r="80" spans="5:19" x14ac:dyDescent="0.25">
      <c r="E80" s="51"/>
      <c r="G80" s="89" t="s">
        <v>91</v>
      </c>
      <c r="I80" s="109">
        <f>-I67/$H$67</f>
        <v>7.6408744908277714E-3</v>
      </c>
      <c r="J80" s="109">
        <f t="shared" ref="J80:R80" si="26">-J67/$H$67</f>
        <v>1.2650074233758385E-2</v>
      </c>
      <c r="K80" s="109">
        <f t="shared" si="26"/>
        <v>-1.953946174981971E-3</v>
      </c>
      <c r="L80" s="109">
        <f t="shared" si="26"/>
        <v>2.3123809976251988E-2</v>
      </c>
      <c r="M80" s="109">
        <f t="shared" si="26"/>
        <v>2.8597497783745252E-2</v>
      </c>
      <c r="N80" s="109">
        <f t="shared" si="26"/>
        <v>3.4235396225463351E-2</v>
      </c>
      <c r="O80" s="109">
        <f t="shared" si="26"/>
        <v>4.0042431620433055E-2</v>
      </c>
      <c r="P80" s="109">
        <f t="shared" si="26"/>
        <v>-4.9840340050103758E-3</v>
      </c>
      <c r="Q80" s="109">
        <f t="shared" si="26"/>
        <v>5.2184361927775147E-2</v>
      </c>
      <c r="R80" s="109">
        <f t="shared" si="26"/>
        <v>1.530834665646992</v>
      </c>
    </row>
    <row r="81" spans="5:18" x14ac:dyDescent="0.25">
      <c r="E81" s="51"/>
    </row>
    <row r="82" spans="5:18" x14ac:dyDescent="0.25">
      <c r="E82" s="51"/>
      <c r="G82" s="85" t="s">
        <v>96</v>
      </c>
    </row>
    <row r="83" spans="5:18" x14ac:dyDescent="0.25">
      <c r="E83" s="51"/>
      <c r="G83" s="90" t="s">
        <v>52</v>
      </c>
      <c r="I83" s="112">
        <f>I26/C27</f>
        <v>7.2845343371281679E-2</v>
      </c>
      <c r="J83" s="109">
        <f>(J26/$C$27)</f>
        <v>7.5030703672420138E-2</v>
      </c>
      <c r="K83" s="109">
        <f t="shared" ref="K83:R83" si="27">(K26/$C$27)</f>
        <v>7.7281624782592734E-2</v>
      </c>
      <c r="L83" s="109">
        <f t="shared" si="27"/>
        <v>7.9600073526070528E-2</v>
      </c>
      <c r="M83" s="109">
        <f t="shared" si="27"/>
        <v>8.1988075731852628E-2</v>
      </c>
      <c r="N83" s="109">
        <f t="shared" si="27"/>
        <v>8.4447718003808209E-2</v>
      </c>
      <c r="O83" s="109">
        <f t="shared" si="27"/>
        <v>8.698114954392247E-2</v>
      </c>
      <c r="P83" s="109">
        <f t="shared" si="27"/>
        <v>8.9590584030240145E-2</v>
      </c>
      <c r="Q83" s="109">
        <f t="shared" si="27"/>
        <v>9.2278301551147357E-2</v>
      </c>
      <c r="R83" s="109">
        <f t="shared" si="27"/>
        <v>9.5046650597681775E-2</v>
      </c>
    </row>
    <row r="84" spans="5:18" x14ac:dyDescent="0.25">
      <c r="E84" s="51"/>
      <c r="G84" s="89" t="s">
        <v>53</v>
      </c>
      <c r="I84" s="110">
        <f>I26/I56</f>
        <v>1.0667787231950112</v>
      </c>
      <c r="J84" s="110">
        <f t="shared" ref="J84:R84" si="28">J26/J56</f>
        <v>1.0987820848908618</v>
      </c>
      <c r="K84" s="110">
        <f t="shared" si="28"/>
        <v>1.1317455474375875</v>
      </c>
      <c r="L84" s="110">
        <f t="shared" si="28"/>
        <v>1.1656979138607153</v>
      </c>
      <c r="M84" s="110">
        <f t="shared" si="28"/>
        <v>1.2006688512765364</v>
      </c>
      <c r="N84" s="110">
        <f t="shared" si="28"/>
        <v>1.2366889168148325</v>
      </c>
      <c r="O84" s="110">
        <f t="shared" si="28"/>
        <v>1.2737895843192779</v>
      </c>
      <c r="P84" s="110">
        <f t="shared" si="28"/>
        <v>1.3120032718488563</v>
      </c>
      <c r="Q84" s="110">
        <f t="shared" si="28"/>
        <v>1.3513633700043219</v>
      </c>
      <c r="R84" s="110">
        <f t="shared" si="28"/>
        <v>1.3919042711044516</v>
      </c>
    </row>
    <row r="85" spans="5:18" x14ac:dyDescent="0.25">
      <c r="E85" s="51"/>
    </row>
    <row r="86" spans="5:18" x14ac:dyDescent="0.25">
      <c r="E86" s="51"/>
      <c r="J86" s="40"/>
      <c r="K86" s="40"/>
      <c r="L86" s="40"/>
      <c r="M86" s="40"/>
      <c r="N86" s="40"/>
      <c r="O86" s="40"/>
      <c r="P86" s="40"/>
      <c r="Q86" s="40"/>
      <c r="R86" s="40"/>
    </row>
    <row r="87" spans="5:18" x14ac:dyDescent="0.25">
      <c r="E87" s="51"/>
    </row>
    <row r="88" spans="5:18" x14ac:dyDescent="0.25">
      <c r="E88" s="51"/>
    </row>
    <row r="89" spans="5:18" x14ac:dyDescent="0.25">
      <c r="E89" s="51"/>
    </row>
  </sheetData>
  <mergeCells count="2">
    <mergeCell ref="B2:D2"/>
    <mergeCell ref="B34:C34"/>
  </mergeCells>
  <phoneticPr fontId="22" type="noConversion"/>
  <pageMargins left="0.45" right="0.45" top="0.25" bottom="0.25" header="0.3" footer="0.3"/>
  <pageSetup paperSize="3" scale="69" orientation="landscape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376"/>
  <sheetViews>
    <sheetView showGridLines="0" workbookViewId="0">
      <selection activeCell="D5" sqref="D5"/>
    </sheetView>
  </sheetViews>
  <sheetFormatPr defaultColWidth="10.36328125" defaultRowHeight="15.5" x14ac:dyDescent="0.35"/>
  <cols>
    <col min="1" max="1" width="2.81640625" style="3" customWidth="1"/>
    <col min="2" max="3" width="9.81640625" style="3" customWidth="1"/>
    <col min="4" max="4" width="18.453125" style="3" customWidth="1"/>
    <col min="5" max="7" width="15.81640625" style="3" customWidth="1"/>
    <col min="8" max="8" width="16.26953125" style="3" bestFit="1" customWidth="1"/>
    <col min="9" max="9" width="15.81640625" style="3" customWidth="1"/>
    <col min="10" max="10" width="10.36328125" style="3"/>
    <col min="11" max="11" width="14.36328125" style="3" bestFit="1" customWidth="1"/>
    <col min="12" max="12" width="15.1796875" style="3" customWidth="1"/>
    <col min="13" max="13" width="12.81640625" style="3" bestFit="1" customWidth="1"/>
    <col min="14" max="14" width="15.36328125" style="3" bestFit="1" customWidth="1"/>
    <col min="15" max="16384" width="10.36328125" style="3"/>
  </cols>
  <sheetData>
    <row r="1" spans="2:16" ht="16" thickBot="1" x14ac:dyDescent="0.4"/>
    <row r="2" spans="2:16" x14ac:dyDescent="0.35">
      <c r="B2" s="67" t="s">
        <v>54</v>
      </c>
      <c r="C2" s="68"/>
      <c r="D2" s="69"/>
    </row>
    <row r="3" spans="2:16" x14ac:dyDescent="0.35">
      <c r="B3" s="4" t="s">
        <v>40</v>
      </c>
      <c r="C3" s="58"/>
      <c r="D3" s="70">
        <v>27230000</v>
      </c>
    </row>
    <row r="4" spans="2:16" x14ac:dyDescent="0.35">
      <c r="B4" s="4" t="s">
        <v>41</v>
      </c>
      <c r="C4" s="58"/>
      <c r="D4" s="71">
        <v>5.5199999999999999E-2</v>
      </c>
    </row>
    <row r="5" spans="2:16" x14ac:dyDescent="0.35">
      <c r="B5" s="4" t="s">
        <v>42</v>
      </c>
      <c r="C5" s="58"/>
      <c r="D5" s="72">
        <v>10</v>
      </c>
    </row>
    <row r="6" spans="2:16" x14ac:dyDescent="0.35">
      <c r="B6" s="4" t="s">
        <v>43</v>
      </c>
      <c r="C6" s="58"/>
      <c r="D6" s="72">
        <f>'Pro Forma_BLANK'!C29</f>
        <v>30</v>
      </c>
    </row>
    <row r="7" spans="2:16" x14ac:dyDescent="0.35">
      <c r="B7" s="4" t="s">
        <v>44</v>
      </c>
      <c r="C7" s="58"/>
      <c r="D7" s="73">
        <f>'Pro Forma_BLANK'!C30</f>
        <v>154950.80789100332</v>
      </c>
    </row>
    <row r="8" spans="2:16" ht="16" thickBot="1" x14ac:dyDescent="0.4">
      <c r="B8" s="5" t="s">
        <v>45</v>
      </c>
      <c r="C8" s="6"/>
      <c r="D8" s="74">
        <f>D7*12</f>
        <v>1859409.6946920399</v>
      </c>
    </row>
    <row r="9" spans="2:16" x14ac:dyDescent="0.35">
      <c r="B9" s="58"/>
      <c r="C9" s="58"/>
      <c r="D9" s="59"/>
    </row>
    <row r="10" spans="2:16" x14ac:dyDescent="0.35">
      <c r="B10" s="58"/>
      <c r="C10" s="58"/>
      <c r="D10" s="59"/>
      <c r="J10" s="82"/>
    </row>
    <row r="11" spans="2:16" x14ac:dyDescent="0.35">
      <c r="B11" s="83" t="s">
        <v>81</v>
      </c>
      <c r="C11" s="58"/>
      <c r="D11" s="59"/>
      <c r="J11" s="82" t="s">
        <v>80</v>
      </c>
    </row>
    <row r="12" spans="2:16" x14ac:dyDescent="0.35">
      <c r="D12" s="57"/>
      <c r="F12" s="115" t="s">
        <v>101</v>
      </c>
      <c r="G12" s="115"/>
    </row>
    <row r="13" spans="2:16" ht="31" x14ac:dyDescent="0.35">
      <c r="B13" s="64" t="s">
        <v>76</v>
      </c>
      <c r="C13" s="65" t="s">
        <v>72</v>
      </c>
      <c r="D13" s="65" t="s">
        <v>77</v>
      </c>
      <c r="E13" s="65" t="s">
        <v>79</v>
      </c>
      <c r="F13" s="65" t="s">
        <v>47</v>
      </c>
      <c r="G13" s="65" t="s">
        <v>48</v>
      </c>
      <c r="H13" s="66" t="s">
        <v>78</v>
      </c>
      <c r="J13" s="64" t="s">
        <v>72</v>
      </c>
      <c r="K13" s="65" t="s">
        <v>79</v>
      </c>
      <c r="L13" s="65" t="s">
        <v>47</v>
      </c>
      <c r="M13" s="65" t="s">
        <v>48</v>
      </c>
      <c r="N13" s="66" t="s">
        <v>78</v>
      </c>
    </row>
    <row r="14" spans="2:16" x14ac:dyDescent="0.35">
      <c r="B14" s="7"/>
      <c r="C14" s="63"/>
      <c r="D14" s="63"/>
      <c r="E14" s="63"/>
      <c r="F14" s="63"/>
      <c r="G14" s="63"/>
      <c r="H14" s="8">
        <f>D3</f>
        <v>27230000</v>
      </c>
      <c r="J14" s="80"/>
      <c r="K14" s="63"/>
      <c r="L14" s="63"/>
      <c r="M14" s="63"/>
      <c r="N14" s="81"/>
    </row>
    <row r="15" spans="2:16" x14ac:dyDescent="0.35">
      <c r="B15" s="9">
        <v>1</v>
      </c>
      <c r="C15" s="60">
        <v>1</v>
      </c>
      <c r="D15" s="61">
        <f>H14</f>
        <v>27230000</v>
      </c>
      <c r="E15" s="62">
        <f>$D$7</f>
        <v>154950.80789100332</v>
      </c>
      <c r="F15" s="103">
        <f>D15*($D$4/12)</f>
        <v>125258</v>
      </c>
      <c r="G15" s="103">
        <f>E15-F15</f>
        <v>29692.807891003322</v>
      </c>
      <c r="H15" s="10">
        <f>D15-G15</f>
        <v>27200307.192108996</v>
      </c>
      <c r="J15" s="76">
        <v>1</v>
      </c>
      <c r="K15" s="61">
        <f>SUMIF($C$15:$C$374,$J15,$E$15:$E$374)</f>
        <v>1859409.6946920399</v>
      </c>
      <c r="L15" s="62">
        <f>SUMIF($C$15:$C$374,$J15,$F$15:$F$374)</f>
        <v>1493941.5963400858</v>
      </c>
      <c r="M15" s="75">
        <f>SUMIF($C$15:$C$374,$J15,$G$15:$G$374)</f>
        <v>365468.0983519539</v>
      </c>
      <c r="N15" s="77">
        <f>VLOOKUP(P15,$B$15:$H$374,7,FALSE)</f>
        <v>26864531.901648045</v>
      </c>
      <c r="P15" s="3">
        <f>J15*12</f>
        <v>12</v>
      </c>
    </row>
    <row r="16" spans="2:16" x14ac:dyDescent="0.35">
      <c r="B16" s="9">
        <f>B15+1</f>
        <v>2</v>
      </c>
      <c r="C16" s="60">
        <v>1</v>
      </c>
      <c r="D16" s="61">
        <f t="shared" ref="D16:D79" si="0">H15</f>
        <v>27200307.192108996</v>
      </c>
      <c r="E16" s="62">
        <f t="shared" ref="E16:E79" si="1">$D$7</f>
        <v>154950.80789100332</v>
      </c>
      <c r="F16" s="103">
        <f t="shared" ref="F16:F79" si="2">D16*($D$4/12)</f>
        <v>125121.41308370138</v>
      </c>
      <c r="G16" s="103">
        <f>E16-F16</f>
        <v>29829.394807301942</v>
      </c>
      <c r="H16" s="10">
        <f t="shared" ref="H16:H79" si="3">D16-G16</f>
        <v>27170477.797301695</v>
      </c>
      <c r="J16" s="76">
        <f>J15+1</f>
        <v>2</v>
      </c>
      <c r="K16" s="61">
        <f t="shared" ref="K16:K44" si="4">SUMIF($C$15:$C$374,$J16,$E$15:$E$374)</f>
        <v>1859409.6946920399</v>
      </c>
      <c r="L16" s="62">
        <f t="shared" ref="L16:L44" si="5">SUMIF($C$15:$C$374,$J16,$F$15:$F$374)</f>
        <v>1473249.4514794466</v>
      </c>
      <c r="M16" s="75">
        <f t="shared" ref="M16:M44" si="6">SUMIF($C$15:$C$374,$J16,$G$15:$G$374)</f>
        <v>386160.24321259314</v>
      </c>
      <c r="N16" s="77">
        <f t="shared" ref="N16:N44" si="7">VLOOKUP(P16,$B$15:$H$374,7,FALSE)</f>
        <v>26478371.658435453</v>
      </c>
      <c r="P16" s="3">
        <f t="shared" ref="P16:P44" si="8">J16*12</f>
        <v>24</v>
      </c>
    </row>
    <row r="17" spans="2:16" x14ac:dyDescent="0.35">
      <c r="B17" s="9">
        <f t="shared" ref="B17:B80" si="9">B16+1</f>
        <v>3</v>
      </c>
      <c r="C17" s="60">
        <v>1</v>
      </c>
      <c r="D17" s="61">
        <f t="shared" si="0"/>
        <v>27170477.797301695</v>
      </c>
      <c r="E17" s="62">
        <f t="shared" si="1"/>
        <v>154950.80789100332</v>
      </c>
      <c r="F17" s="103">
        <f t="shared" si="2"/>
        <v>124984.19786758779</v>
      </c>
      <c r="G17" s="103">
        <f t="shared" ref="G17:G80" si="10">E17-F17</f>
        <v>29966.610023415531</v>
      </c>
      <c r="H17" s="10">
        <f t="shared" si="3"/>
        <v>27140511.187278278</v>
      </c>
      <c r="J17" s="76">
        <f t="shared" ref="J17:J44" si="11">J16+1</f>
        <v>3</v>
      </c>
      <c r="K17" s="61">
        <f t="shared" si="4"/>
        <v>1859409.6946920399</v>
      </c>
      <c r="L17" s="62">
        <f t="shared" si="5"/>
        <v>1451385.7546807197</v>
      </c>
      <c r="M17" s="75">
        <f t="shared" si="6"/>
        <v>408023.9400113204</v>
      </c>
      <c r="N17" s="77">
        <f t="shared" si="7"/>
        <v>26070347.718424134</v>
      </c>
      <c r="P17" s="3">
        <f t="shared" si="8"/>
        <v>36</v>
      </c>
    </row>
    <row r="18" spans="2:16" x14ac:dyDescent="0.35">
      <c r="B18" s="9">
        <f t="shared" si="9"/>
        <v>4</v>
      </c>
      <c r="C18" s="60">
        <v>1</v>
      </c>
      <c r="D18" s="61">
        <f t="shared" si="0"/>
        <v>27140511.187278278</v>
      </c>
      <c r="E18" s="62">
        <f t="shared" si="1"/>
        <v>154950.80789100332</v>
      </c>
      <c r="F18" s="103">
        <f t="shared" si="2"/>
        <v>124846.35146148008</v>
      </c>
      <c r="G18" s="103">
        <f t="shared" si="10"/>
        <v>30104.456429523241</v>
      </c>
      <c r="H18" s="10">
        <f t="shared" si="3"/>
        <v>27110406.730848756</v>
      </c>
      <c r="J18" s="76">
        <f t="shared" si="11"/>
        <v>4</v>
      </c>
      <c r="K18" s="61">
        <f t="shared" si="4"/>
        <v>1859409.6946920399</v>
      </c>
      <c r="L18" s="62">
        <f t="shared" si="5"/>
        <v>1428284.1747852501</v>
      </c>
      <c r="M18" s="75">
        <f t="shared" si="6"/>
        <v>431125.51990678976</v>
      </c>
      <c r="N18" s="77">
        <f t="shared" si="7"/>
        <v>25639222.198517349</v>
      </c>
      <c r="P18" s="3">
        <f t="shared" si="8"/>
        <v>48</v>
      </c>
    </row>
    <row r="19" spans="2:16" x14ac:dyDescent="0.35">
      <c r="B19" s="9">
        <f t="shared" si="9"/>
        <v>5</v>
      </c>
      <c r="C19" s="60">
        <v>1</v>
      </c>
      <c r="D19" s="61">
        <f t="shared" si="0"/>
        <v>27110406.730848756</v>
      </c>
      <c r="E19" s="62">
        <f t="shared" si="1"/>
        <v>154950.80789100332</v>
      </c>
      <c r="F19" s="103">
        <f t="shared" si="2"/>
        <v>124707.87096190428</v>
      </c>
      <c r="G19" s="103">
        <f t="shared" si="10"/>
        <v>30242.936929099043</v>
      </c>
      <c r="H19" s="10">
        <f t="shared" si="3"/>
        <v>27080163.793919656</v>
      </c>
      <c r="J19" s="76">
        <f t="shared" si="11"/>
        <v>5</v>
      </c>
      <c r="K19" s="61">
        <f t="shared" si="4"/>
        <v>1859409.6946920399</v>
      </c>
      <c r="L19" s="62">
        <f t="shared" si="5"/>
        <v>1403874.6250837636</v>
      </c>
      <c r="M19" s="75">
        <f t="shared" si="6"/>
        <v>455535.06960827584</v>
      </c>
      <c r="N19" s="77">
        <f t="shared" si="7"/>
        <v>25183687.12890907</v>
      </c>
      <c r="P19" s="3">
        <f t="shared" si="8"/>
        <v>60</v>
      </c>
    </row>
    <row r="20" spans="2:16" x14ac:dyDescent="0.35">
      <c r="B20" s="9">
        <f t="shared" si="9"/>
        <v>6</v>
      </c>
      <c r="C20" s="60">
        <v>1</v>
      </c>
      <c r="D20" s="61">
        <f t="shared" si="0"/>
        <v>27080163.793919656</v>
      </c>
      <c r="E20" s="62">
        <f t="shared" si="1"/>
        <v>154950.80789100332</v>
      </c>
      <c r="F20" s="103">
        <f t="shared" si="2"/>
        <v>124568.75345203042</v>
      </c>
      <c r="G20" s="103">
        <f t="shared" si="10"/>
        <v>30382.054438972904</v>
      </c>
      <c r="H20" s="10">
        <f t="shared" si="3"/>
        <v>27049781.739480682</v>
      </c>
      <c r="J20" s="76">
        <f t="shared" si="11"/>
        <v>6</v>
      </c>
      <c r="K20" s="61">
        <f t="shared" si="4"/>
        <v>1859409.6946920399</v>
      </c>
      <c r="L20" s="62">
        <f t="shared" si="5"/>
        <v>1378083.05068386</v>
      </c>
      <c r="M20" s="75">
        <f t="shared" si="6"/>
        <v>481326.64400817989</v>
      </c>
      <c r="N20" s="77">
        <f t="shared" si="7"/>
        <v>24702360.484900884</v>
      </c>
      <c r="P20" s="3">
        <f t="shared" si="8"/>
        <v>72</v>
      </c>
    </row>
    <row r="21" spans="2:16" x14ac:dyDescent="0.35">
      <c r="B21" s="9">
        <f t="shared" si="9"/>
        <v>7</v>
      </c>
      <c r="C21" s="60">
        <v>1</v>
      </c>
      <c r="D21" s="61">
        <f t="shared" si="0"/>
        <v>27049781.739480682</v>
      </c>
      <c r="E21" s="62">
        <f t="shared" si="1"/>
        <v>154950.80789100332</v>
      </c>
      <c r="F21" s="103">
        <f t="shared" si="2"/>
        <v>124428.99600161113</v>
      </c>
      <c r="G21" s="103">
        <f t="shared" si="10"/>
        <v>30521.811889392193</v>
      </c>
      <c r="H21" s="10">
        <f t="shared" si="3"/>
        <v>27019259.92759129</v>
      </c>
      <c r="J21" s="76">
        <f t="shared" si="11"/>
        <v>7</v>
      </c>
      <c r="K21" s="61">
        <f t="shared" si="4"/>
        <v>1859409.6946920399</v>
      </c>
      <c r="L21" s="62">
        <f t="shared" si="5"/>
        <v>1350831.2038386364</v>
      </c>
      <c r="M21" s="75">
        <f t="shared" si="6"/>
        <v>508578.49085340369</v>
      </c>
      <c r="N21" s="77">
        <f t="shared" si="7"/>
        <v>24193781.994047478</v>
      </c>
      <c r="P21" s="3">
        <f t="shared" si="8"/>
        <v>84</v>
      </c>
    </row>
    <row r="22" spans="2:16" x14ac:dyDescent="0.35">
      <c r="B22" s="9">
        <f t="shared" si="9"/>
        <v>8</v>
      </c>
      <c r="C22" s="60">
        <v>1</v>
      </c>
      <c r="D22" s="61">
        <f t="shared" si="0"/>
        <v>27019259.92759129</v>
      </c>
      <c r="E22" s="62">
        <f t="shared" si="1"/>
        <v>154950.80789100332</v>
      </c>
      <c r="F22" s="103">
        <f t="shared" si="2"/>
        <v>124288.59566691994</v>
      </c>
      <c r="G22" s="103">
        <f t="shared" si="10"/>
        <v>30662.212224083385</v>
      </c>
      <c r="H22" s="10">
        <f t="shared" si="3"/>
        <v>26988597.715367205</v>
      </c>
      <c r="J22" s="76">
        <f t="shared" si="11"/>
        <v>8</v>
      </c>
      <c r="K22" s="61">
        <f t="shared" si="4"/>
        <v>1859409.6946920399</v>
      </c>
      <c r="L22" s="62">
        <f t="shared" si="5"/>
        <v>1322036.4065548263</v>
      </c>
      <c r="M22" s="75">
        <f t="shared" si="6"/>
        <v>537373.28813721356</v>
      </c>
      <c r="N22" s="77">
        <f t="shared" si="7"/>
        <v>23656408.705910258</v>
      </c>
      <c r="P22" s="3">
        <f t="shared" si="8"/>
        <v>96</v>
      </c>
    </row>
    <row r="23" spans="2:16" x14ac:dyDescent="0.35">
      <c r="B23" s="9">
        <f t="shared" si="9"/>
        <v>9</v>
      </c>
      <c r="C23" s="60">
        <v>1</v>
      </c>
      <c r="D23" s="61">
        <f t="shared" si="0"/>
        <v>26988597.715367205</v>
      </c>
      <c r="E23" s="62">
        <f t="shared" si="1"/>
        <v>154950.80789100332</v>
      </c>
      <c r="F23" s="103">
        <f t="shared" si="2"/>
        <v>124147.54949068914</v>
      </c>
      <c r="G23" s="103">
        <f t="shared" si="10"/>
        <v>30803.258400314182</v>
      </c>
      <c r="H23" s="10">
        <f t="shared" si="3"/>
        <v>26957794.456966892</v>
      </c>
      <c r="J23" s="76">
        <f t="shared" si="11"/>
        <v>9</v>
      </c>
      <c r="K23" s="61">
        <f t="shared" si="4"/>
        <v>1859409.6946920399</v>
      </c>
      <c r="L23" s="62">
        <f t="shared" si="5"/>
        <v>1291611.2997602383</v>
      </c>
      <c r="M23" s="75">
        <f t="shared" si="6"/>
        <v>567798.39493180136</v>
      </c>
      <c r="N23" s="77">
        <f t="shared" si="7"/>
        <v>23088610.310978461</v>
      </c>
      <c r="P23" s="3">
        <f t="shared" si="8"/>
        <v>108</v>
      </c>
    </row>
    <row r="24" spans="2:16" x14ac:dyDescent="0.35">
      <c r="B24" s="9">
        <f t="shared" si="9"/>
        <v>10</v>
      </c>
      <c r="C24" s="60">
        <v>1</v>
      </c>
      <c r="D24" s="61">
        <f t="shared" si="0"/>
        <v>26957794.456966892</v>
      </c>
      <c r="E24" s="62">
        <f t="shared" si="1"/>
        <v>154950.80789100332</v>
      </c>
      <c r="F24" s="103">
        <f t="shared" si="2"/>
        <v>124005.8545020477</v>
      </c>
      <c r="G24" s="103">
        <f t="shared" si="10"/>
        <v>30944.953388955619</v>
      </c>
      <c r="H24" s="10">
        <f t="shared" si="3"/>
        <v>26926849.503577936</v>
      </c>
      <c r="J24" s="76">
        <f t="shared" si="11"/>
        <v>10</v>
      </c>
      <c r="K24" s="61">
        <f t="shared" si="4"/>
        <v>1859409.6946920399</v>
      </c>
      <c r="L24" s="62">
        <f t="shared" si="5"/>
        <v>1259463.5782695035</v>
      </c>
      <c r="M24" s="75">
        <f t="shared" si="6"/>
        <v>599946.11642253632</v>
      </c>
      <c r="N24" s="77">
        <f t="shared" si="7"/>
        <v>22488664.194555935</v>
      </c>
      <c r="P24" s="3">
        <f t="shared" si="8"/>
        <v>120</v>
      </c>
    </row>
    <row r="25" spans="2:16" x14ac:dyDescent="0.35">
      <c r="B25" s="9">
        <f t="shared" si="9"/>
        <v>11</v>
      </c>
      <c r="C25" s="60">
        <v>1</v>
      </c>
      <c r="D25" s="61">
        <f t="shared" si="0"/>
        <v>26926849.503577936</v>
      </c>
      <c r="E25" s="62">
        <f t="shared" si="1"/>
        <v>154950.80789100332</v>
      </c>
      <c r="F25" s="103">
        <f t="shared" si="2"/>
        <v>123863.50771645851</v>
      </c>
      <c r="G25" s="103">
        <f t="shared" si="10"/>
        <v>31087.300174544813</v>
      </c>
      <c r="H25" s="10">
        <f t="shared" si="3"/>
        <v>26895762.203403391</v>
      </c>
      <c r="J25" s="76">
        <f t="shared" si="11"/>
        <v>11</v>
      </c>
      <c r="K25" s="61">
        <f t="shared" si="4"/>
        <v>1859409.6946920399</v>
      </c>
      <c r="L25" s="62">
        <f t="shared" si="5"/>
        <v>1225495.7107440657</v>
      </c>
      <c r="M25" s="75">
        <f t="shared" si="6"/>
        <v>633913.98394797428</v>
      </c>
      <c r="N25" s="77">
        <f t="shared" si="7"/>
        <v>21854750.210607961</v>
      </c>
      <c r="P25" s="3">
        <f t="shared" si="8"/>
        <v>132</v>
      </c>
    </row>
    <row r="26" spans="2:16" x14ac:dyDescent="0.35">
      <c r="B26" s="9">
        <f t="shared" si="9"/>
        <v>12</v>
      </c>
      <c r="C26" s="60">
        <v>1</v>
      </c>
      <c r="D26" s="61">
        <f t="shared" si="0"/>
        <v>26895762.203403391</v>
      </c>
      <c r="E26" s="62">
        <f t="shared" si="1"/>
        <v>154950.80789100332</v>
      </c>
      <c r="F26" s="103">
        <f t="shared" si="2"/>
        <v>123720.5061356556</v>
      </c>
      <c r="G26" s="103">
        <f t="shared" si="10"/>
        <v>31230.301755347726</v>
      </c>
      <c r="H26" s="10">
        <f t="shared" si="3"/>
        <v>26864531.901648045</v>
      </c>
      <c r="J26" s="76">
        <f t="shared" si="11"/>
        <v>12</v>
      </c>
      <c r="K26" s="61">
        <f t="shared" si="4"/>
        <v>1859409.6946920399</v>
      </c>
      <c r="L26" s="62">
        <f t="shared" si="5"/>
        <v>1189604.6437968095</v>
      </c>
      <c r="M26" s="75">
        <f t="shared" si="6"/>
        <v>669805.05089523038</v>
      </c>
      <c r="N26" s="77">
        <f t="shared" si="7"/>
        <v>21184945.159712732</v>
      </c>
      <c r="P26" s="3">
        <f t="shared" si="8"/>
        <v>144</v>
      </c>
    </row>
    <row r="27" spans="2:16" x14ac:dyDescent="0.35">
      <c r="B27" s="9">
        <f t="shared" si="9"/>
        <v>13</v>
      </c>
      <c r="C27" s="60">
        <f>C15+1</f>
        <v>2</v>
      </c>
      <c r="D27" s="61">
        <f t="shared" si="0"/>
        <v>26864531.901648045</v>
      </c>
      <c r="E27" s="62">
        <f t="shared" si="1"/>
        <v>154950.80789100332</v>
      </c>
      <c r="F27" s="103">
        <f t="shared" si="2"/>
        <v>123576.846747581</v>
      </c>
      <c r="G27" s="103">
        <f t="shared" si="10"/>
        <v>31373.961143422319</v>
      </c>
      <c r="H27" s="10">
        <f t="shared" si="3"/>
        <v>26833157.940504622</v>
      </c>
      <c r="J27" s="76">
        <f t="shared" si="11"/>
        <v>13</v>
      </c>
      <c r="K27" s="61">
        <f t="shared" si="4"/>
        <v>1859409.6946920399</v>
      </c>
      <c r="L27" s="62">
        <f t="shared" si="5"/>
        <v>1151681.4893436276</v>
      </c>
      <c r="M27" s="75">
        <f t="shared" si="6"/>
        <v>707728.20534841227</v>
      </c>
      <c r="N27" s="77">
        <f t="shared" si="7"/>
        <v>20477216.954364322</v>
      </c>
      <c r="P27" s="3">
        <f t="shared" si="8"/>
        <v>156</v>
      </c>
    </row>
    <row r="28" spans="2:16" x14ac:dyDescent="0.35">
      <c r="B28" s="9">
        <f t="shared" si="9"/>
        <v>14</v>
      </c>
      <c r="C28" s="60">
        <f t="shared" ref="C28:C91" si="12">C16+1</f>
        <v>2</v>
      </c>
      <c r="D28" s="61">
        <f t="shared" si="0"/>
        <v>26833157.940504622</v>
      </c>
      <c r="E28" s="62">
        <f t="shared" si="1"/>
        <v>154950.80789100332</v>
      </c>
      <c r="F28" s="103">
        <f t="shared" si="2"/>
        <v>123432.52652632126</v>
      </c>
      <c r="G28" s="103">
        <f t="shared" si="10"/>
        <v>31518.281364682058</v>
      </c>
      <c r="H28" s="10">
        <f t="shared" si="3"/>
        <v>26801639.659139939</v>
      </c>
      <c r="J28" s="76">
        <f t="shared" si="11"/>
        <v>14</v>
      </c>
      <c r="K28" s="61">
        <f t="shared" si="4"/>
        <v>1859409.6946920399</v>
      </c>
      <c r="L28" s="62">
        <f t="shared" si="5"/>
        <v>1111611.1942533934</v>
      </c>
      <c r="M28" s="75">
        <f t="shared" si="6"/>
        <v>747798.50043864641</v>
      </c>
      <c r="N28" s="77">
        <f t="shared" si="7"/>
        <v>19729418.453925673</v>
      </c>
      <c r="P28" s="3">
        <f t="shared" si="8"/>
        <v>168</v>
      </c>
    </row>
    <row r="29" spans="2:16" x14ac:dyDescent="0.35">
      <c r="B29" s="9">
        <f t="shared" si="9"/>
        <v>15</v>
      </c>
      <c r="C29" s="60">
        <f t="shared" si="12"/>
        <v>2</v>
      </c>
      <c r="D29" s="61">
        <f t="shared" si="0"/>
        <v>26801639.659139939</v>
      </c>
      <c r="E29" s="62">
        <f t="shared" si="1"/>
        <v>154950.80789100332</v>
      </c>
      <c r="F29" s="103">
        <f t="shared" si="2"/>
        <v>123287.54243204372</v>
      </c>
      <c r="G29" s="103">
        <f t="shared" si="10"/>
        <v>31663.265458959606</v>
      </c>
      <c r="H29" s="10">
        <f t="shared" si="3"/>
        <v>26769976.393680979</v>
      </c>
      <c r="J29" s="76">
        <f t="shared" si="11"/>
        <v>15</v>
      </c>
      <c r="K29" s="61">
        <f t="shared" si="4"/>
        <v>1859409.6946920399</v>
      </c>
      <c r="L29" s="62">
        <f t="shared" si="5"/>
        <v>1069272.1912941148</v>
      </c>
      <c r="M29" s="75">
        <f t="shared" si="6"/>
        <v>790137.50339792483</v>
      </c>
      <c r="N29" s="77">
        <f t="shared" si="7"/>
        <v>18939280.950527746</v>
      </c>
      <c r="P29" s="3">
        <f t="shared" si="8"/>
        <v>180</v>
      </c>
    </row>
    <row r="30" spans="2:16" x14ac:dyDescent="0.35">
      <c r="B30" s="9">
        <f t="shared" si="9"/>
        <v>16</v>
      </c>
      <c r="C30" s="60">
        <f t="shared" si="12"/>
        <v>2</v>
      </c>
      <c r="D30" s="61">
        <f t="shared" si="0"/>
        <v>26769976.393680979</v>
      </c>
      <c r="E30" s="62">
        <f t="shared" si="1"/>
        <v>154950.80789100332</v>
      </c>
      <c r="F30" s="103">
        <f t="shared" si="2"/>
        <v>123141.8914109325</v>
      </c>
      <c r="G30" s="103">
        <f t="shared" si="10"/>
        <v>31808.916480070824</v>
      </c>
      <c r="H30" s="10">
        <f t="shared" si="3"/>
        <v>26738167.477200907</v>
      </c>
      <c r="J30" s="76">
        <f t="shared" si="11"/>
        <v>16</v>
      </c>
      <c r="K30" s="61">
        <f t="shared" si="4"/>
        <v>1859409.6946920399</v>
      </c>
      <c r="L30" s="62">
        <f t="shared" si="5"/>
        <v>1024536.0303162872</v>
      </c>
      <c r="M30" s="75">
        <f t="shared" si="6"/>
        <v>834873.66437575268</v>
      </c>
      <c r="N30" s="77">
        <f t="shared" si="7"/>
        <v>18104407.286151987</v>
      </c>
      <c r="P30" s="3">
        <f t="shared" si="8"/>
        <v>192</v>
      </c>
    </row>
    <row r="31" spans="2:16" x14ac:dyDescent="0.35">
      <c r="B31" s="9">
        <f t="shared" si="9"/>
        <v>17</v>
      </c>
      <c r="C31" s="60">
        <f t="shared" si="12"/>
        <v>2</v>
      </c>
      <c r="D31" s="61">
        <f t="shared" si="0"/>
        <v>26738167.477200907</v>
      </c>
      <c r="E31" s="62">
        <f t="shared" si="1"/>
        <v>154950.80789100332</v>
      </c>
      <c r="F31" s="103">
        <f t="shared" si="2"/>
        <v>122995.57039512417</v>
      </c>
      <c r="G31" s="103">
        <f t="shared" si="10"/>
        <v>31955.237495879148</v>
      </c>
      <c r="H31" s="10">
        <f t="shared" si="3"/>
        <v>26706212.239705026</v>
      </c>
      <c r="J31" s="76">
        <f t="shared" si="11"/>
        <v>17</v>
      </c>
      <c r="K31" s="61">
        <f t="shared" si="4"/>
        <v>1859409.6946920399</v>
      </c>
      <c r="L31" s="62">
        <f t="shared" si="5"/>
        <v>977266.98855450994</v>
      </c>
      <c r="M31" s="75">
        <f t="shared" si="6"/>
        <v>882142.70613752992</v>
      </c>
      <c r="N31" s="77">
        <f t="shared" si="7"/>
        <v>17222264.580014452</v>
      </c>
      <c r="P31" s="3">
        <f t="shared" si="8"/>
        <v>204</v>
      </c>
    </row>
    <row r="32" spans="2:16" x14ac:dyDescent="0.35">
      <c r="B32" s="9">
        <f t="shared" si="9"/>
        <v>18</v>
      </c>
      <c r="C32" s="60">
        <f t="shared" si="12"/>
        <v>2</v>
      </c>
      <c r="D32" s="61">
        <f t="shared" si="0"/>
        <v>26706212.239705026</v>
      </c>
      <c r="E32" s="62">
        <f t="shared" si="1"/>
        <v>154950.80789100332</v>
      </c>
      <c r="F32" s="103">
        <f t="shared" si="2"/>
        <v>122848.57630264312</v>
      </c>
      <c r="G32" s="103">
        <f t="shared" si="10"/>
        <v>32102.231588360199</v>
      </c>
      <c r="H32" s="10">
        <f t="shared" si="3"/>
        <v>26674110.008116666</v>
      </c>
      <c r="J32" s="76">
        <f t="shared" si="11"/>
        <v>18</v>
      </c>
      <c r="K32" s="61">
        <f t="shared" si="4"/>
        <v>1859409.6946920399</v>
      </c>
      <c r="L32" s="62">
        <f t="shared" si="5"/>
        <v>927321.65886508883</v>
      </c>
      <c r="M32" s="75">
        <f t="shared" si="6"/>
        <v>932088.03582695103</v>
      </c>
      <c r="N32" s="77">
        <f t="shared" si="7"/>
        <v>16290176.544187503</v>
      </c>
      <c r="P32" s="3">
        <f t="shared" si="8"/>
        <v>216</v>
      </c>
    </row>
    <row r="33" spans="2:16" x14ac:dyDescent="0.35">
      <c r="B33" s="9">
        <f t="shared" si="9"/>
        <v>19</v>
      </c>
      <c r="C33" s="60">
        <f t="shared" si="12"/>
        <v>2</v>
      </c>
      <c r="D33" s="61">
        <f t="shared" si="0"/>
        <v>26674110.008116666</v>
      </c>
      <c r="E33" s="62">
        <f t="shared" si="1"/>
        <v>154950.80789100332</v>
      </c>
      <c r="F33" s="103">
        <f t="shared" si="2"/>
        <v>122700.90603733667</v>
      </c>
      <c r="G33" s="103">
        <f t="shared" si="10"/>
        <v>32249.901853666655</v>
      </c>
      <c r="H33" s="10">
        <f t="shared" si="3"/>
        <v>26641860.106263001</v>
      </c>
      <c r="J33" s="76">
        <f t="shared" si="11"/>
        <v>19</v>
      </c>
      <c r="K33" s="61">
        <f t="shared" si="4"/>
        <v>1859409.6946920399</v>
      </c>
      <c r="L33" s="62">
        <f t="shared" si="5"/>
        <v>874548.51465038862</v>
      </c>
      <c r="M33" s="75">
        <f t="shared" si="6"/>
        <v>984861.18004165124</v>
      </c>
      <c r="N33" s="77">
        <f t="shared" si="7"/>
        <v>15305315.364145849</v>
      </c>
      <c r="P33" s="3">
        <f t="shared" si="8"/>
        <v>228</v>
      </c>
    </row>
    <row r="34" spans="2:16" x14ac:dyDescent="0.35">
      <c r="B34" s="9">
        <f t="shared" si="9"/>
        <v>20</v>
      </c>
      <c r="C34" s="60">
        <f t="shared" si="12"/>
        <v>2</v>
      </c>
      <c r="D34" s="61">
        <f t="shared" si="0"/>
        <v>26641860.106263001</v>
      </c>
      <c r="E34" s="62">
        <f t="shared" si="1"/>
        <v>154950.80789100332</v>
      </c>
      <c r="F34" s="103">
        <f t="shared" si="2"/>
        <v>122552.5564888098</v>
      </c>
      <c r="G34" s="103">
        <f t="shared" si="10"/>
        <v>32398.25140219352</v>
      </c>
      <c r="H34" s="10">
        <f t="shared" si="3"/>
        <v>26609461.854860809</v>
      </c>
      <c r="J34" s="76">
        <f t="shared" si="11"/>
        <v>20</v>
      </c>
      <c r="K34" s="61">
        <f t="shared" si="4"/>
        <v>1859409.6946920399</v>
      </c>
      <c r="L34" s="62">
        <f t="shared" si="5"/>
        <v>818787.45014998864</v>
      </c>
      <c r="M34" s="75">
        <f t="shared" si="6"/>
        <v>1040622.2445420512</v>
      </c>
      <c r="N34" s="77">
        <f t="shared" si="7"/>
        <v>14264693.1196038</v>
      </c>
      <c r="P34" s="3">
        <f t="shared" si="8"/>
        <v>240</v>
      </c>
    </row>
    <row r="35" spans="2:16" x14ac:dyDescent="0.35">
      <c r="B35" s="9">
        <f t="shared" si="9"/>
        <v>21</v>
      </c>
      <c r="C35" s="60">
        <f t="shared" si="12"/>
        <v>2</v>
      </c>
      <c r="D35" s="61">
        <f t="shared" si="0"/>
        <v>26609461.854860809</v>
      </c>
      <c r="E35" s="62">
        <f t="shared" si="1"/>
        <v>154950.80789100332</v>
      </c>
      <c r="F35" s="103">
        <f t="shared" si="2"/>
        <v>122403.52453235972</v>
      </c>
      <c r="G35" s="103">
        <f t="shared" si="10"/>
        <v>32547.283358643603</v>
      </c>
      <c r="H35" s="10">
        <f t="shared" si="3"/>
        <v>26576914.571502164</v>
      </c>
      <c r="J35" s="76">
        <f t="shared" si="11"/>
        <v>21</v>
      </c>
      <c r="K35" s="61">
        <f t="shared" si="4"/>
        <v>1859409.6946920399</v>
      </c>
      <c r="L35" s="62">
        <f t="shared" si="5"/>
        <v>759869.29470395274</v>
      </c>
      <c r="M35" s="75">
        <f t="shared" si="6"/>
        <v>1099540.3999880871</v>
      </c>
      <c r="N35" s="77">
        <f t="shared" si="7"/>
        <v>13165152.719615713</v>
      </c>
      <c r="P35" s="3">
        <f t="shared" si="8"/>
        <v>252</v>
      </c>
    </row>
    <row r="36" spans="2:16" x14ac:dyDescent="0.35">
      <c r="B36" s="9">
        <f t="shared" si="9"/>
        <v>22</v>
      </c>
      <c r="C36" s="60">
        <f t="shared" si="12"/>
        <v>2</v>
      </c>
      <c r="D36" s="61">
        <f t="shared" si="0"/>
        <v>26576914.571502164</v>
      </c>
      <c r="E36" s="62">
        <f t="shared" si="1"/>
        <v>154950.80789100332</v>
      </c>
      <c r="F36" s="103">
        <f t="shared" si="2"/>
        <v>122253.80702890996</v>
      </c>
      <c r="G36" s="103">
        <f t="shared" si="10"/>
        <v>32697.000862093366</v>
      </c>
      <c r="H36" s="10">
        <f t="shared" si="3"/>
        <v>26544217.570640072</v>
      </c>
      <c r="J36" s="76">
        <f t="shared" si="11"/>
        <v>22</v>
      </c>
      <c r="K36" s="61">
        <f t="shared" si="4"/>
        <v>1859409.6946920399</v>
      </c>
      <c r="L36" s="62">
        <f t="shared" si="5"/>
        <v>697615.29951456131</v>
      </c>
      <c r="M36" s="75">
        <f t="shared" si="6"/>
        <v>1161794.3951774787</v>
      </c>
      <c r="N36" s="77">
        <f t="shared" si="7"/>
        <v>12003358.324438233</v>
      </c>
      <c r="P36" s="3">
        <f t="shared" si="8"/>
        <v>264</v>
      </c>
    </row>
    <row r="37" spans="2:16" x14ac:dyDescent="0.35">
      <c r="B37" s="9">
        <f t="shared" si="9"/>
        <v>23</v>
      </c>
      <c r="C37" s="60">
        <f t="shared" si="12"/>
        <v>2</v>
      </c>
      <c r="D37" s="61">
        <f t="shared" si="0"/>
        <v>26544217.570640072</v>
      </c>
      <c r="E37" s="62">
        <f t="shared" si="1"/>
        <v>154950.80789100332</v>
      </c>
      <c r="F37" s="103">
        <f t="shared" si="2"/>
        <v>122103.40082494433</v>
      </c>
      <c r="G37" s="103">
        <f t="shared" si="10"/>
        <v>32847.407066058993</v>
      </c>
      <c r="H37" s="10">
        <f t="shared" si="3"/>
        <v>26511370.163574014</v>
      </c>
      <c r="J37" s="76">
        <f t="shared" si="11"/>
        <v>23</v>
      </c>
      <c r="K37" s="61">
        <f t="shared" si="4"/>
        <v>1859409.6946920399</v>
      </c>
      <c r="L37" s="62">
        <f t="shared" si="5"/>
        <v>631836.59534941684</v>
      </c>
      <c r="M37" s="75">
        <f t="shared" si="6"/>
        <v>1227573.099342623</v>
      </c>
      <c r="N37" s="77">
        <f t="shared" si="7"/>
        <v>10775785.225095611</v>
      </c>
      <c r="P37" s="3">
        <f t="shared" si="8"/>
        <v>276</v>
      </c>
    </row>
    <row r="38" spans="2:16" x14ac:dyDescent="0.35">
      <c r="B38" s="9">
        <f t="shared" si="9"/>
        <v>24</v>
      </c>
      <c r="C38" s="60">
        <f t="shared" si="12"/>
        <v>2</v>
      </c>
      <c r="D38" s="61">
        <f t="shared" si="0"/>
        <v>26511370.163574014</v>
      </c>
      <c r="E38" s="62">
        <f t="shared" si="1"/>
        <v>154950.80789100332</v>
      </c>
      <c r="F38" s="103">
        <f t="shared" si="2"/>
        <v>121952.30275244046</v>
      </c>
      <c r="G38" s="103">
        <f t="shared" si="10"/>
        <v>32998.505138562861</v>
      </c>
      <c r="H38" s="10">
        <f t="shared" si="3"/>
        <v>26478371.658435453</v>
      </c>
      <c r="J38" s="76">
        <f t="shared" si="11"/>
        <v>24</v>
      </c>
      <c r="K38" s="61">
        <f t="shared" si="4"/>
        <v>1859409.6946920399</v>
      </c>
      <c r="L38" s="62">
        <f t="shared" si="5"/>
        <v>562333.61954067892</v>
      </c>
      <c r="M38" s="75">
        <f t="shared" si="6"/>
        <v>1297076.0751513611</v>
      </c>
      <c r="N38" s="77">
        <f t="shared" si="7"/>
        <v>9478709.1499442477</v>
      </c>
      <c r="P38" s="3">
        <f t="shared" si="8"/>
        <v>288</v>
      </c>
    </row>
    <row r="39" spans="2:16" x14ac:dyDescent="0.35">
      <c r="B39" s="9">
        <f t="shared" si="9"/>
        <v>25</v>
      </c>
      <c r="C39" s="60">
        <f t="shared" si="12"/>
        <v>3</v>
      </c>
      <c r="D39" s="61">
        <f t="shared" si="0"/>
        <v>26478371.658435453</v>
      </c>
      <c r="E39" s="62">
        <f t="shared" si="1"/>
        <v>154950.80789100332</v>
      </c>
      <c r="F39" s="103">
        <f t="shared" si="2"/>
        <v>121800.50962880308</v>
      </c>
      <c r="G39" s="103">
        <f t="shared" si="10"/>
        <v>33150.298262200246</v>
      </c>
      <c r="H39" s="10">
        <f t="shared" si="3"/>
        <v>26445221.360173251</v>
      </c>
      <c r="J39" s="76">
        <f t="shared" si="11"/>
        <v>25</v>
      </c>
      <c r="K39" s="61">
        <f t="shared" si="4"/>
        <v>1859409.6946920399</v>
      </c>
      <c r="L39" s="62">
        <f t="shared" si="5"/>
        <v>488895.51054202591</v>
      </c>
      <c r="M39" s="75">
        <f t="shared" si="6"/>
        <v>1370514.1841500141</v>
      </c>
      <c r="N39" s="77">
        <f t="shared" si="7"/>
        <v>8108194.9657942327</v>
      </c>
      <c r="P39" s="3">
        <f t="shared" si="8"/>
        <v>300</v>
      </c>
    </row>
    <row r="40" spans="2:16" x14ac:dyDescent="0.35">
      <c r="B40" s="9">
        <f t="shared" si="9"/>
        <v>26</v>
      </c>
      <c r="C40" s="60">
        <f t="shared" si="12"/>
        <v>3</v>
      </c>
      <c r="D40" s="61">
        <f t="shared" si="0"/>
        <v>26445221.360173251</v>
      </c>
      <c r="E40" s="62">
        <f t="shared" si="1"/>
        <v>154950.80789100332</v>
      </c>
      <c r="F40" s="103">
        <f t="shared" si="2"/>
        <v>121648.01825679696</v>
      </c>
      <c r="G40" s="103">
        <f t="shared" si="10"/>
        <v>33302.789634206361</v>
      </c>
      <c r="H40" s="10">
        <f t="shared" si="3"/>
        <v>26411918.570539046</v>
      </c>
      <c r="J40" s="76">
        <f t="shared" si="11"/>
        <v>26</v>
      </c>
      <c r="K40" s="61">
        <f t="shared" si="4"/>
        <v>1859409.6946920399</v>
      </c>
      <c r="L40" s="62">
        <f t="shared" si="5"/>
        <v>411299.46820652619</v>
      </c>
      <c r="M40" s="75">
        <f t="shared" si="6"/>
        <v>1448110.2264855136</v>
      </c>
      <c r="N40" s="77">
        <f t="shared" si="7"/>
        <v>6660084.7393087186</v>
      </c>
      <c r="P40" s="3">
        <f t="shared" si="8"/>
        <v>312</v>
      </c>
    </row>
    <row r="41" spans="2:16" x14ac:dyDescent="0.35">
      <c r="B41" s="9">
        <f t="shared" si="9"/>
        <v>27</v>
      </c>
      <c r="C41" s="60">
        <f t="shared" si="12"/>
        <v>3</v>
      </c>
      <c r="D41" s="61">
        <f t="shared" si="0"/>
        <v>26411918.570539046</v>
      </c>
      <c r="E41" s="62">
        <f t="shared" si="1"/>
        <v>154950.80789100332</v>
      </c>
      <c r="F41" s="103">
        <f t="shared" si="2"/>
        <v>121494.82542447961</v>
      </c>
      <c r="G41" s="103">
        <f t="shared" si="10"/>
        <v>33455.98246652371</v>
      </c>
      <c r="H41" s="10">
        <f t="shared" si="3"/>
        <v>26378462.588072523</v>
      </c>
      <c r="J41" s="76">
        <f t="shared" si="11"/>
        <v>27</v>
      </c>
      <c r="K41" s="61">
        <f t="shared" si="4"/>
        <v>1859409.6946920399</v>
      </c>
      <c r="L41" s="62">
        <f t="shared" si="5"/>
        <v>329310.07784459449</v>
      </c>
      <c r="M41" s="75">
        <f t="shared" si="6"/>
        <v>1530099.6168474455</v>
      </c>
      <c r="N41" s="77">
        <f t="shared" si="7"/>
        <v>5129985.1224612743</v>
      </c>
      <c r="P41" s="3">
        <f t="shared" si="8"/>
        <v>324</v>
      </c>
    </row>
    <row r="42" spans="2:16" x14ac:dyDescent="0.35">
      <c r="B42" s="9">
        <f t="shared" si="9"/>
        <v>28</v>
      </c>
      <c r="C42" s="60">
        <f t="shared" si="12"/>
        <v>3</v>
      </c>
      <c r="D42" s="61">
        <f t="shared" si="0"/>
        <v>26378462.588072523</v>
      </c>
      <c r="E42" s="62">
        <f t="shared" si="1"/>
        <v>154950.80789100332</v>
      </c>
      <c r="F42" s="103">
        <f t="shared" si="2"/>
        <v>121340.92790513361</v>
      </c>
      <c r="G42" s="103">
        <f t="shared" si="10"/>
        <v>33609.879985869717</v>
      </c>
      <c r="H42" s="10">
        <f t="shared" si="3"/>
        <v>26344852.708086655</v>
      </c>
      <c r="J42" s="76">
        <f t="shared" si="11"/>
        <v>28</v>
      </c>
      <c r="K42" s="61">
        <f t="shared" si="4"/>
        <v>1859409.6946920399</v>
      </c>
      <c r="L42" s="62">
        <f t="shared" si="5"/>
        <v>242678.59601132793</v>
      </c>
      <c r="M42" s="75">
        <f t="shared" si="6"/>
        <v>1616731.098680712</v>
      </c>
      <c r="N42" s="77">
        <f t="shared" si="7"/>
        <v>3513254.023780562</v>
      </c>
      <c r="P42" s="3">
        <f t="shared" si="8"/>
        <v>336</v>
      </c>
    </row>
    <row r="43" spans="2:16" x14ac:dyDescent="0.35">
      <c r="B43" s="9">
        <f t="shared" si="9"/>
        <v>29</v>
      </c>
      <c r="C43" s="60">
        <f t="shared" si="12"/>
        <v>3</v>
      </c>
      <c r="D43" s="61">
        <f t="shared" si="0"/>
        <v>26344852.708086655</v>
      </c>
      <c r="E43" s="62">
        <f t="shared" si="1"/>
        <v>154950.80789100332</v>
      </c>
      <c r="F43" s="103">
        <f t="shared" si="2"/>
        <v>121186.32245719861</v>
      </c>
      <c r="G43" s="103">
        <f t="shared" si="10"/>
        <v>33764.485433804715</v>
      </c>
      <c r="H43" s="10">
        <f t="shared" si="3"/>
        <v>26311088.222652849</v>
      </c>
      <c r="J43" s="76">
        <f t="shared" si="11"/>
        <v>29</v>
      </c>
      <c r="K43" s="61">
        <f t="shared" si="4"/>
        <v>1859409.6946920399</v>
      </c>
      <c r="L43" s="62">
        <f t="shared" si="5"/>
        <v>151142.19585640944</v>
      </c>
      <c r="M43" s="75">
        <f t="shared" si="6"/>
        <v>1708267.4988356305</v>
      </c>
      <c r="N43" s="77">
        <f t="shared" si="7"/>
        <v>1804986.5249449315</v>
      </c>
      <c r="P43" s="3">
        <f t="shared" si="8"/>
        <v>348</v>
      </c>
    </row>
    <row r="44" spans="2:16" x14ac:dyDescent="0.35">
      <c r="B44" s="9">
        <f t="shared" si="9"/>
        <v>30</v>
      </c>
      <c r="C44" s="60">
        <f t="shared" si="12"/>
        <v>3</v>
      </c>
      <c r="D44" s="61">
        <f t="shared" si="0"/>
        <v>26311088.222652849</v>
      </c>
      <c r="E44" s="62">
        <f t="shared" si="1"/>
        <v>154950.80789100332</v>
      </c>
      <c r="F44" s="103">
        <f t="shared" si="2"/>
        <v>121031.00582420311</v>
      </c>
      <c r="G44" s="103">
        <f t="shared" si="10"/>
        <v>33919.802066800214</v>
      </c>
      <c r="H44" s="10">
        <f t="shared" si="3"/>
        <v>26277168.42058605</v>
      </c>
      <c r="J44" s="78">
        <f t="shared" si="11"/>
        <v>30</v>
      </c>
      <c r="K44" s="12">
        <f t="shared" si="4"/>
        <v>1859409.6946920399</v>
      </c>
      <c r="L44" s="13">
        <f t="shared" si="5"/>
        <v>54423.169747082822</v>
      </c>
      <c r="M44" s="55">
        <f t="shared" si="6"/>
        <v>1804986.5249449569</v>
      </c>
      <c r="N44" s="79">
        <f t="shared" si="7"/>
        <v>-2.5349436327815056E-8</v>
      </c>
      <c r="P44" s="3">
        <f t="shared" si="8"/>
        <v>360</v>
      </c>
    </row>
    <row r="45" spans="2:16" x14ac:dyDescent="0.35">
      <c r="B45" s="9">
        <f t="shared" si="9"/>
        <v>31</v>
      </c>
      <c r="C45" s="60">
        <f t="shared" si="12"/>
        <v>3</v>
      </c>
      <c r="D45" s="61">
        <f t="shared" si="0"/>
        <v>26277168.42058605</v>
      </c>
      <c r="E45" s="62">
        <f t="shared" si="1"/>
        <v>154950.80789100332</v>
      </c>
      <c r="F45" s="103">
        <f t="shared" si="2"/>
        <v>120874.97473469583</v>
      </c>
      <c r="G45" s="103">
        <f t="shared" si="10"/>
        <v>34075.83315630749</v>
      </c>
      <c r="H45" s="10">
        <f t="shared" si="3"/>
        <v>26243092.587429743</v>
      </c>
    </row>
    <row r="46" spans="2:16" x14ac:dyDescent="0.35">
      <c r="B46" s="9">
        <f t="shared" si="9"/>
        <v>32</v>
      </c>
      <c r="C46" s="60">
        <f t="shared" si="12"/>
        <v>3</v>
      </c>
      <c r="D46" s="61">
        <f t="shared" si="0"/>
        <v>26243092.587429743</v>
      </c>
      <c r="E46" s="62">
        <f t="shared" si="1"/>
        <v>154950.80789100332</v>
      </c>
      <c r="F46" s="103">
        <f t="shared" si="2"/>
        <v>120718.22590217681</v>
      </c>
      <c r="G46" s="103">
        <f t="shared" si="10"/>
        <v>34232.58198882651</v>
      </c>
      <c r="H46" s="10">
        <f t="shared" si="3"/>
        <v>26208860.005440917</v>
      </c>
    </row>
    <row r="47" spans="2:16" x14ac:dyDescent="0.35">
      <c r="B47" s="9">
        <f t="shared" si="9"/>
        <v>33</v>
      </c>
      <c r="C47" s="60">
        <f t="shared" si="12"/>
        <v>3</v>
      </c>
      <c r="D47" s="61">
        <f t="shared" si="0"/>
        <v>26208860.005440917</v>
      </c>
      <c r="E47" s="62">
        <f t="shared" si="1"/>
        <v>154950.80789100332</v>
      </c>
      <c r="F47" s="103">
        <f t="shared" si="2"/>
        <v>120560.75602502821</v>
      </c>
      <c r="G47" s="103">
        <f t="shared" si="10"/>
        <v>34390.051865975111</v>
      </c>
      <c r="H47" s="10">
        <f t="shared" si="3"/>
        <v>26174469.953574941</v>
      </c>
    </row>
    <row r="48" spans="2:16" x14ac:dyDescent="0.35">
      <c r="B48" s="9">
        <f t="shared" si="9"/>
        <v>34</v>
      </c>
      <c r="C48" s="60">
        <f t="shared" si="12"/>
        <v>3</v>
      </c>
      <c r="D48" s="61">
        <f t="shared" si="0"/>
        <v>26174469.953574941</v>
      </c>
      <c r="E48" s="62">
        <f t="shared" si="1"/>
        <v>154950.80789100332</v>
      </c>
      <c r="F48" s="103">
        <f t="shared" si="2"/>
        <v>120402.56178644473</v>
      </c>
      <c r="G48" s="103">
        <f t="shared" si="10"/>
        <v>34548.246104558595</v>
      </c>
      <c r="H48" s="10">
        <f t="shared" si="3"/>
        <v>26139921.707470383</v>
      </c>
    </row>
    <row r="49" spans="2:8" x14ac:dyDescent="0.35">
      <c r="B49" s="9">
        <f t="shared" si="9"/>
        <v>35</v>
      </c>
      <c r="C49" s="60">
        <f t="shared" si="12"/>
        <v>3</v>
      </c>
      <c r="D49" s="61">
        <f t="shared" si="0"/>
        <v>26139921.707470383</v>
      </c>
      <c r="E49" s="62">
        <f t="shared" si="1"/>
        <v>154950.80789100332</v>
      </c>
      <c r="F49" s="103">
        <f t="shared" si="2"/>
        <v>120243.63985436376</v>
      </c>
      <c r="G49" s="103">
        <f t="shared" si="10"/>
        <v>34707.168036639559</v>
      </c>
      <c r="H49" s="10">
        <f t="shared" si="3"/>
        <v>26105214.539433744</v>
      </c>
    </row>
    <row r="50" spans="2:8" x14ac:dyDescent="0.35">
      <c r="B50" s="9">
        <f t="shared" si="9"/>
        <v>36</v>
      </c>
      <c r="C50" s="60">
        <f t="shared" si="12"/>
        <v>3</v>
      </c>
      <c r="D50" s="61">
        <f t="shared" si="0"/>
        <v>26105214.539433744</v>
      </c>
      <c r="E50" s="62">
        <f t="shared" si="1"/>
        <v>154950.80789100332</v>
      </c>
      <c r="F50" s="103">
        <f t="shared" si="2"/>
        <v>120083.98688139522</v>
      </c>
      <c r="G50" s="103">
        <f t="shared" si="10"/>
        <v>34866.821009608102</v>
      </c>
      <c r="H50" s="10">
        <f t="shared" si="3"/>
        <v>26070347.718424134</v>
      </c>
    </row>
    <row r="51" spans="2:8" x14ac:dyDescent="0.35">
      <c r="B51" s="9">
        <f t="shared" si="9"/>
        <v>37</v>
      </c>
      <c r="C51" s="60">
        <f t="shared" si="12"/>
        <v>4</v>
      </c>
      <c r="D51" s="61">
        <f t="shared" si="0"/>
        <v>26070347.718424134</v>
      </c>
      <c r="E51" s="62">
        <f t="shared" si="1"/>
        <v>154950.80789100332</v>
      </c>
      <c r="F51" s="103">
        <f t="shared" si="2"/>
        <v>119923.59950475101</v>
      </c>
      <c r="G51" s="103">
        <f t="shared" si="10"/>
        <v>35027.208386252314</v>
      </c>
      <c r="H51" s="10">
        <f t="shared" si="3"/>
        <v>26035320.51003788</v>
      </c>
    </row>
    <row r="52" spans="2:8" x14ac:dyDescent="0.35">
      <c r="B52" s="9">
        <f t="shared" si="9"/>
        <v>38</v>
      </c>
      <c r="C52" s="60">
        <f t="shared" si="12"/>
        <v>4</v>
      </c>
      <c r="D52" s="61">
        <f t="shared" si="0"/>
        <v>26035320.51003788</v>
      </c>
      <c r="E52" s="62">
        <f t="shared" si="1"/>
        <v>154950.80789100332</v>
      </c>
      <c r="F52" s="103">
        <f t="shared" si="2"/>
        <v>119762.47434617425</v>
      </c>
      <c r="G52" s="103">
        <f t="shared" si="10"/>
        <v>35188.333544829075</v>
      </c>
      <c r="H52" s="10">
        <f t="shared" si="3"/>
        <v>26000132.176493052</v>
      </c>
    </row>
    <row r="53" spans="2:8" x14ac:dyDescent="0.35">
      <c r="B53" s="9">
        <f t="shared" si="9"/>
        <v>39</v>
      </c>
      <c r="C53" s="60">
        <f t="shared" si="12"/>
        <v>4</v>
      </c>
      <c r="D53" s="61">
        <f t="shared" si="0"/>
        <v>26000132.176493052</v>
      </c>
      <c r="E53" s="62">
        <f t="shared" si="1"/>
        <v>154950.80789100332</v>
      </c>
      <c r="F53" s="103">
        <f t="shared" si="2"/>
        <v>119600.60801186804</v>
      </c>
      <c r="G53" s="103">
        <f t="shared" si="10"/>
        <v>35350.199879135282</v>
      </c>
      <c r="H53" s="10">
        <f t="shared" si="3"/>
        <v>25964781.976613916</v>
      </c>
    </row>
    <row r="54" spans="2:8" x14ac:dyDescent="0.35">
      <c r="B54" s="9">
        <f t="shared" si="9"/>
        <v>40</v>
      </c>
      <c r="C54" s="60">
        <f t="shared" si="12"/>
        <v>4</v>
      </c>
      <c r="D54" s="61">
        <f t="shared" si="0"/>
        <v>25964781.976613916</v>
      </c>
      <c r="E54" s="62">
        <f t="shared" si="1"/>
        <v>154950.80789100332</v>
      </c>
      <c r="F54" s="103">
        <f t="shared" si="2"/>
        <v>119437.99709242402</v>
      </c>
      <c r="G54" s="103">
        <f t="shared" si="10"/>
        <v>35512.810798579303</v>
      </c>
      <c r="H54" s="10">
        <f t="shared" si="3"/>
        <v>25929269.165815338</v>
      </c>
    </row>
    <row r="55" spans="2:8" x14ac:dyDescent="0.35">
      <c r="B55" s="9">
        <f t="shared" si="9"/>
        <v>41</v>
      </c>
      <c r="C55" s="60">
        <f t="shared" si="12"/>
        <v>4</v>
      </c>
      <c r="D55" s="61">
        <f t="shared" si="0"/>
        <v>25929269.165815338</v>
      </c>
      <c r="E55" s="62">
        <f t="shared" si="1"/>
        <v>154950.80789100332</v>
      </c>
      <c r="F55" s="103">
        <f t="shared" si="2"/>
        <v>119274.63816275056</v>
      </c>
      <c r="G55" s="103">
        <f t="shared" si="10"/>
        <v>35676.16972825276</v>
      </c>
      <c r="H55" s="10">
        <f t="shared" si="3"/>
        <v>25893592.996087085</v>
      </c>
    </row>
    <row r="56" spans="2:8" x14ac:dyDescent="0.35">
      <c r="B56" s="9">
        <f t="shared" si="9"/>
        <v>42</v>
      </c>
      <c r="C56" s="60">
        <f t="shared" si="12"/>
        <v>4</v>
      </c>
      <c r="D56" s="61">
        <f t="shared" si="0"/>
        <v>25893592.996087085</v>
      </c>
      <c r="E56" s="62">
        <f t="shared" si="1"/>
        <v>154950.80789100332</v>
      </c>
      <c r="F56" s="103">
        <f t="shared" si="2"/>
        <v>119110.52778200059</v>
      </c>
      <c r="G56" s="103">
        <f t="shared" si="10"/>
        <v>35840.280109002735</v>
      </c>
      <c r="H56" s="10">
        <f t="shared" si="3"/>
        <v>25857752.715978082</v>
      </c>
    </row>
    <row r="57" spans="2:8" x14ac:dyDescent="0.35">
      <c r="B57" s="9">
        <f t="shared" si="9"/>
        <v>43</v>
      </c>
      <c r="C57" s="60">
        <f t="shared" si="12"/>
        <v>4</v>
      </c>
      <c r="D57" s="61">
        <f t="shared" si="0"/>
        <v>25857752.715978082</v>
      </c>
      <c r="E57" s="62">
        <f t="shared" si="1"/>
        <v>154950.80789100332</v>
      </c>
      <c r="F57" s="103">
        <f t="shared" si="2"/>
        <v>118945.66249349917</v>
      </c>
      <c r="G57" s="103">
        <f t="shared" si="10"/>
        <v>36005.145397504151</v>
      </c>
      <c r="H57" s="10">
        <f t="shared" si="3"/>
        <v>25821747.570580579</v>
      </c>
    </row>
    <row r="58" spans="2:8" x14ac:dyDescent="0.35">
      <c r="B58" s="9">
        <f t="shared" si="9"/>
        <v>44</v>
      </c>
      <c r="C58" s="60">
        <f t="shared" si="12"/>
        <v>4</v>
      </c>
      <c r="D58" s="61">
        <f t="shared" si="0"/>
        <v>25821747.570580579</v>
      </c>
      <c r="E58" s="62">
        <f t="shared" si="1"/>
        <v>154950.80789100332</v>
      </c>
      <c r="F58" s="103">
        <f t="shared" si="2"/>
        <v>118780.03882467066</v>
      </c>
      <c r="G58" s="103">
        <f t="shared" si="10"/>
        <v>36170.769066332665</v>
      </c>
      <c r="H58" s="10">
        <f t="shared" si="3"/>
        <v>25785576.801514246</v>
      </c>
    </row>
    <row r="59" spans="2:8" x14ac:dyDescent="0.35">
      <c r="B59" s="9">
        <f t="shared" si="9"/>
        <v>45</v>
      </c>
      <c r="C59" s="60">
        <f t="shared" si="12"/>
        <v>4</v>
      </c>
      <c r="D59" s="61">
        <f t="shared" si="0"/>
        <v>25785576.801514246</v>
      </c>
      <c r="E59" s="62">
        <f t="shared" si="1"/>
        <v>154950.80789100332</v>
      </c>
      <c r="F59" s="103">
        <f t="shared" si="2"/>
        <v>118613.65328696553</v>
      </c>
      <c r="G59" s="103">
        <f t="shared" si="10"/>
        <v>36337.154604037787</v>
      </c>
      <c r="H59" s="10">
        <f t="shared" si="3"/>
        <v>25749239.646910209</v>
      </c>
    </row>
    <row r="60" spans="2:8" x14ac:dyDescent="0.35">
      <c r="B60" s="9">
        <f t="shared" si="9"/>
        <v>46</v>
      </c>
      <c r="C60" s="60">
        <f t="shared" si="12"/>
        <v>4</v>
      </c>
      <c r="D60" s="61">
        <f t="shared" si="0"/>
        <v>25749239.646910209</v>
      </c>
      <c r="E60" s="62">
        <f t="shared" si="1"/>
        <v>154950.80789100332</v>
      </c>
      <c r="F60" s="103">
        <f t="shared" si="2"/>
        <v>118446.50237578696</v>
      </c>
      <c r="G60" s="103">
        <f t="shared" si="10"/>
        <v>36504.305515216358</v>
      </c>
      <c r="H60" s="10">
        <f t="shared" si="3"/>
        <v>25712735.341394994</v>
      </c>
    </row>
    <row r="61" spans="2:8" x14ac:dyDescent="0.35">
      <c r="B61" s="9">
        <f t="shared" si="9"/>
        <v>47</v>
      </c>
      <c r="C61" s="60">
        <f t="shared" si="12"/>
        <v>4</v>
      </c>
      <c r="D61" s="61">
        <f t="shared" si="0"/>
        <v>25712735.341394994</v>
      </c>
      <c r="E61" s="62">
        <f t="shared" si="1"/>
        <v>154950.80789100332</v>
      </c>
      <c r="F61" s="103">
        <f t="shared" si="2"/>
        <v>118278.58257041697</v>
      </c>
      <c r="G61" s="103">
        <f t="shared" si="10"/>
        <v>36672.225320586353</v>
      </c>
      <c r="H61" s="10">
        <f t="shared" si="3"/>
        <v>25676063.116074409</v>
      </c>
    </row>
    <row r="62" spans="2:8" x14ac:dyDescent="0.35">
      <c r="B62" s="9">
        <f t="shared" si="9"/>
        <v>48</v>
      </c>
      <c r="C62" s="60">
        <f t="shared" si="12"/>
        <v>4</v>
      </c>
      <c r="D62" s="61">
        <f t="shared" si="0"/>
        <v>25676063.116074409</v>
      </c>
      <c r="E62" s="62">
        <f t="shared" si="1"/>
        <v>154950.80789100332</v>
      </c>
      <c r="F62" s="103">
        <f t="shared" si="2"/>
        <v>118109.89033394228</v>
      </c>
      <c r="G62" s="103">
        <f t="shared" si="10"/>
        <v>36840.917557061039</v>
      </c>
      <c r="H62" s="10">
        <f t="shared" si="3"/>
        <v>25639222.198517349</v>
      </c>
    </row>
    <row r="63" spans="2:8" x14ac:dyDescent="0.35">
      <c r="B63" s="9">
        <f t="shared" si="9"/>
        <v>49</v>
      </c>
      <c r="C63" s="60">
        <f t="shared" si="12"/>
        <v>5</v>
      </c>
      <c r="D63" s="61">
        <f t="shared" si="0"/>
        <v>25639222.198517349</v>
      </c>
      <c r="E63" s="62">
        <f t="shared" si="1"/>
        <v>154950.80789100332</v>
      </c>
      <c r="F63" s="103">
        <f t="shared" si="2"/>
        <v>117940.4221131798</v>
      </c>
      <c r="G63" s="103">
        <f t="shared" si="10"/>
        <v>37010.385777823525</v>
      </c>
      <c r="H63" s="10">
        <f t="shared" si="3"/>
        <v>25602211.812739525</v>
      </c>
    </row>
    <row r="64" spans="2:8" x14ac:dyDescent="0.35">
      <c r="B64" s="9">
        <f t="shared" si="9"/>
        <v>50</v>
      </c>
      <c r="C64" s="60">
        <f t="shared" si="12"/>
        <v>5</v>
      </c>
      <c r="D64" s="61">
        <f t="shared" si="0"/>
        <v>25602211.812739525</v>
      </c>
      <c r="E64" s="62">
        <f t="shared" si="1"/>
        <v>154950.80789100332</v>
      </c>
      <c r="F64" s="103">
        <f t="shared" si="2"/>
        <v>117770.17433860181</v>
      </c>
      <c r="G64" s="103">
        <f t="shared" si="10"/>
        <v>37180.633552401516</v>
      </c>
      <c r="H64" s="10">
        <f t="shared" si="3"/>
        <v>25565031.179187123</v>
      </c>
    </row>
    <row r="65" spans="2:8" x14ac:dyDescent="0.35">
      <c r="B65" s="9">
        <f t="shared" si="9"/>
        <v>51</v>
      </c>
      <c r="C65" s="60">
        <f t="shared" si="12"/>
        <v>5</v>
      </c>
      <c r="D65" s="61">
        <f t="shared" si="0"/>
        <v>25565031.179187123</v>
      </c>
      <c r="E65" s="62">
        <f t="shared" si="1"/>
        <v>154950.80789100332</v>
      </c>
      <c r="F65" s="103">
        <f t="shared" si="2"/>
        <v>117599.14342426076</v>
      </c>
      <c r="G65" s="103">
        <f t="shared" si="10"/>
        <v>37351.664466742557</v>
      </c>
      <c r="H65" s="10">
        <f t="shared" si="3"/>
        <v>25527679.51472038</v>
      </c>
    </row>
    <row r="66" spans="2:8" x14ac:dyDescent="0.35">
      <c r="B66" s="9">
        <f t="shared" si="9"/>
        <v>52</v>
      </c>
      <c r="C66" s="60">
        <f t="shared" si="12"/>
        <v>5</v>
      </c>
      <c r="D66" s="61">
        <f t="shared" si="0"/>
        <v>25527679.51472038</v>
      </c>
      <c r="E66" s="62">
        <f t="shared" si="1"/>
        <v>154950.80789100332</v>
      </c>
      <c r="F66" s="103">
        <f t="shared" si="2"/>
        <v>117427.32576771374</v>
      </c>
      <c r="G66" s="103">
        <f t="shared" si="10"/>
        <v>37523.482123289577</v>
      </c>
      <c r="H66" s="10">
        <f t="shared" si="3"/>
        <v>25490156.032597091</v>
      </c>
    </row>
    <row r="67" spans="2:8" x14ac:dyDescent="0.35">
      <c r="B67" s="9">
        <f t="shared" si="9"/>
        <v>53</v>
      </c>
      <c r="C67" s="60">
        <f t="shared" si="12"/>
        <v>5</v>
      </c>
      <c r="D67" s="61">
        <f t="shared" si="0"/>
        <v>25490156.032597091</v>
      </c>
      <c r="E67" s="62">
        <f t="shared" si="1"/>
        <v>154950.80789100332</v>
      </c>
      <c r="F67" s="103">
        <f t="shared" si="2"/>
        <v>117254.71774994662</v>
      </c>
      <c r="G67" s="103">
        <f t="shared" si="10"/>
        <v>37696.090141056702</v>
      </c>
      <c r="H67" s="10">
        <f t="shared" si="3"/>
        <v>25452459.942456033</v>
      </c>
    </row>
    <row r="68" spans="2:8" x14ac:dyDescent="0.35">
      <c r="B68" s="9">
        <f t="shared" si="9"/>
        <v>54</v>
      </c>
      <c r="C68" s="60">
        <f t="shared" si="12"/>
        <v>5</v>
      </c>
      <c r="D68" s="61">
        <f t="shared" si="0"/>
        <v>25452459.942456033</v>
      </c>
      <c r="E68" s="62">
        <f t="shared" si="1"/>
        <v>154950.80789100332</v>
      </c>
      <c r="F68" s="103">
        <f t="shared" si="2"/>
        <v>117081.31573529774</v>
      </c>
      <c r="G68" s="103">
        <f t="shared" si="10"/>
        <v>37869.492155705579</v>
      </c>
      <c r="H68" s="10">
        <f t="shared" si="3"/>
        <v>25414590.450300328</v>
      </c>
    </row>
    <row r="69" spans="2:8" x14ac:dyDescent="0.35">
      <c r="B69" s="9">
        <f t="shared" si="9"/>
        <v>55</v>
      </c>
      <c r="C69" s="60">
        <f t="shared" si="12"/>
        <v>5</v>
      </c>
      <c r="D69" s="61">
        <f t="shared" si="0"/>
        <v>25414590.450300328</v>
      </c>
      <c r="E69" s="62">
        <f t="shared" si="1"/>
        <v>154950.80789100332</v>
      </c>
      <c r="F69" s="103">
        <f t="shared" si="2"/>
        <v>116907.1160713815</v>
      </c>
      <c r="G69" s="103">
        <f t="shared" si="10"/>
        <v>38043.691819621818</v>
      </c>
      <c r="H69" s="10">
        <f t="shared" si="3"/>
        <v>25376546.758480705</v>
      </c>
    </row>
    <row r="70" spans="2:8" x14ac:dyDescent="0.35">
      <c r="B70" s="9">
        <f t="shared" si="9"/>
        <v>56</v>
      </c>
      <c r="C70" s="60">
        <f t="shared" si="12"/>
        <v>5</v>
      </c>
      <c r="D70" s="61">
        <f t="shared" si="0"/>
        <v>25376546.758480705</v>
      </c>
      <c r="E70" s="62">
        <f t="shared" si="1"/>
        <v>154950.80789100332</v>
      </c>
      <c r="F70" s="103">
        <f t="shared" si="2"/>
        <v>116732.11508901125</v>
      </c>
      <c r="G70" s="103">
        <f t="shared" si="10"/>
        <v>38218.692801992074</v>
      </c>
      <c r="H70" s="10">
        <f t="shared" si="3"/>
        <v>25338328.065678712</v>
      </c>
    </row>
    <row r="71" spans="2:8" x14ac:dyDescent="0.35">
      <c r="B71" s="9">
        <f t="shared" si="9"/>
        <v>57</v>
      </c>
      <c r="C71" s="60">
        <f t="shared" si="12"/>
        <v>5</v>
      </c>
      <c r="D71" s="61">
        <f t="shared" si="0"/>
        <v>25338328.065678712</v>
      </c>
      <c r="E71" s="62">
        <f t="shared" si="1"/>
        <v>154950.80789100332</v>
      </c>
      <c r="F71" s="103">
        <f t="shared" si="2"/>
        <v>116556.30910212208</v>
      </c>
      <c r="G71" s="103">
        <f t="shared" si="10"/>
        <v>38394.498788881247</v>
      </c>
      <c r="H71" s="10">
        <f t="shared" si="3"/>
        <v>25299933.56688983</v>
      </c>
    </row>
    <row r="72" spans="2:8" x14ac:dyDescent="0.35">
      <c r="B72" s="9">
        <f t="shared" si="9"/>
        <v>58</v>
      </c>
      <c r="C72" s="60">
        <f t="shared" si="12"/>
        <v>5</v>
      </c>
      <c r="D72" s="61">
        <f t="shared" si="0"/>
        <v>25299933.56688983</v>
      </c>
      <c r="E72" s="62">
        <f t="shared" si="1"/>
        <v>154950.80789100332</v>
      </c>
      <c r="F72" s="103">
        <f t="shared" si="2"/>
        <v>116379.69440769321</v>
      </c>
      <c r="G72" s="103">
        <f t="shared" si="10"/>
        <v>38571.11348331011</v>
      </c>
      <c r="H72" s="10">
        <f t="shared" si="3"/>
        <v>25261362.45340652</v>
      </c>
    </row>
    <row r="73" spans="2:8" x14ac:dyDescent="0.35">
      <c r="B73" s="9">
        <f t="shared" si="9"/>
        <v>59</v>
      </c>
      <c r="C73" s="60">
        <f t="shared" si="12"/>
        <v>5</v>
      </c>
      <c r="D73" s="61">
        <f t="shared" si="0"/>
        <v>25261362.45340652</v>
      </c>
      <c r="E73" s="62">
        <f t="shared" si="1"/>
        <v>154950.80789100332</v>
      </c>
      <c r="F73" s="103">
        <f t="shared" si="2"/>
        <v>116202.26728566999</v>
      </c>
      <c r="G73" s="103">
        <f t="shared" si="10"/>
        <v>38748.540605333328</v>
      </c>
      <c r="H73" s="10">
        <f t="shared" si="3"/>
        <v>25222613.912801187</v>
      </c>
    </row>
    <row r="74" spans="2:8" x14ac:dyDescent="0.35">
      <c r="B74" s="9">
        <f t="shared" si="9"/>
        <v>60</v>
      </c>
      <c r="C74" s="60">
        <f t="shared" si="12"/>
        <v>5</v>
      </c>
      <c r="D74" s="61">
        <f t="shared" si="0"/>
        <v>25222613.912801187</v>
      </c>
      <c r="E74" s="62">
        <f t="shared" si="1"/>
        <v>154950.80789100332</v>
      </c>
      <c r="F74" s="103">
        <f t="shared" si="2"/>
        <v>116024.02399888546</v>
      </c>
      <c r="G74" s="103">
        <f t="shared" si="10"/>
        <v>38926.783892117863</v>
      </c>
      <c r="H74" s="10">
        <f t="shared" si="3"/>
        <v>25183687.12890907</v>
      </c>
    </row>
    <row r="75" spans="2:8" x14ac:dyDescent="0.35">
      <c r="B75" s="9">
        <f t="shared" si="9"/>
        <v>61</v>
      </c>
      <c r="C75" s="60">
        <f t="shared" si="12"/>
        <v>6</v>
      </c>
      <c r="D75" s="61">
        <f t="shared" si="0"/>
        <v>25183687.12890907</v>
      </c>
      <c r="E75" s="62">
        <f t="shared" si="1"/>
        <v>154950.80789100332</v>
      </c>
      <c r="F75" s="103">
        <f t="shared" si="2"/>
        <v>115844.96079298171</v>
      </c>
      <c r="G75" s="103">
        <f t="shared" si="10"/>
        <v>39105.847098021608</v>
      </c>
      <c r="H75" s="10">
        <f t="shared" si="3"/>
        <v>25144581.281811047</v>
      </c>
    </row>
    <row r="76" spans="2:8" x14ac:dyDescent="0.35">
      <c r="B76" s="9">
        <f t="shared" si="9"/>
        <v>62</v>
      </c>
      <c r="C76" s="60">
        <f t="shared" si="12"/>
        <v>6</v>
      </c>
      <c r="D76" s="61">
        <f t="shared" si="0"/>
        <v>25144581.281811047</v>
      </c>
      <c r="E76" s="62">
        <f t="shared" si="1"/>
        <v>154950.80789100332</v>
      </c>
      <c r="F76" s="103">
        <f t="shared" si="2"/>
        <v>115665.07389633081</v>
      </c>
      <c r="G76" s="103">
        <f t="shared" si="10"/>
        <v>39285.733994672511</v>
      </c>
      <c r="H76" s="10">
        <f t="shared" si="3"/>
        <v>25105295.547816373</v>
      </c>
    </row>
    <row r="77" spans="2:8" x14ac:dyDescent="0.35">
      <c r="B77" s="9">
        <f t="shared" si="9"/>
        <v>63</v>
      </c>
      <c r="C77" s="60">
        <f t="shared" si="12"/>
        <v>6</v>
      </c>
      <c r="D77" s="61">
        <f t="shared" si="0"/>
        <v>25105295.547816373</v>
      </c>
      <c r="E77" s="62">
        <f t="shared" si="1"/>
        <v>154950.80789100332</v>
      </c>
      <c r="F77" s="103">
        <f t="shared" si="2"/>
        <v>115484.35951995531</v>
      </c>
      <c r="G77" s="103">
        <f t="shared" si="10"/>
        <v>39466.448371048013</v>
      </c>
      <c r="H77" s="10">
        <f t="shared" si="3"/>
        <v>25065829.099445324</v>
      </c>
    </row>
    <row r="78" spans="2:8" x14ac:dyDescent="0.35">
      <c r="B78" s="9">
        <f t="shared" si="9"/>
        <v>64</v>
      </c>
      <c r="C78" s="60">
        <f t="shared" si="12"/>
        <v>6</v>
      </c>
      <c r="D78" s="61">
        <f t="shared" si="0"/>
        <v>25065829.099445324</v>
      </c>
      <c r="E78" s="62">
        <f t="shared" si="1"/>
        <v>154950.80789100332</v>
      </c>
      <c r="F78" s="103">
        <f t="shared" si="2"/>
        <v>115302.81385744849</v>
      </c>
      <c r="G78" s="103">
        <f t="shared" si="10"/>
        <v>39647.994033554831</v>
      </c>
      <c r="H78" s="10">
        <f t="shared" si="3"/>
        <v>25026181.105411768</v>
      </c>
    </row>
    <row r="79" spans="2:8" x14ac:dyDescent="0.35">
      <c r="B79" s="9">
        <f t="shared" si="9"/>
        <v>65</v>
      </c>
      <c r="C79" s="60">
        <f t="shared" si="12"/>
        <v>6</v>
      </c>
      <c r="D79" s="61">
        <f t="shared" si="0"/>
        <v>25026181.105411768</v>
      </c>
      <c r="E79" s="62">
        <f t="shared" si="1"/>
        <v>154950.80789100332</v>
      </c>
      <c r="F79" s="103">
        <f t="shared" si="2"/>
        <v>115120.43308489413</v>
      </c>
      <c r="G79" s="103">
        <f t="shared" si="10"/>
        <v>39830.37480610919</v>
      </c>
      <c r="H79" s="10">
        <f t="shared" si="3"/>
        <v>24986350.730605658</v>
      </c>
    </row>
    <row r="80" spans="2:8" x14ac:dyDescent="0.35">
      <c r="B80" s="9">
        <f t="shared" si="9"/>
        <v>66</v>
      </c>
      <c r="C80" s="60">
        <f t="shared" si="12"/>
        <v>6</v>
      </c>
      <c r="D80" s="61">
        <f t="shared" ref="D80:D143" si="13">H79</f>
        <v>24986350.730605658</v>
      </c>
      <c r="E80" s="62">
        <f t="shared" ref="E80:E143" si="14">$D$7</f>
        <v>154950.80789100332</v>
      </c>
      <c r="F80" s="103">
        <f t="shared" ref="F80:F143" si="15">D80*($D$4/12)</f>
        <v>114937.21336078603</v>
      </c>
      <c r="G80" s="103">
        <f t="shared" si="10"/>
        <v>40013.594530217291</v>
      </c>
      <c r="H80" s="10">
        <f t="shared" ref="H80:H143" si="16">D80-G80</f>
        <v>24946337.136075441</v>
      </c>
    </row>
    <row r="81" spans="2:8" x14ac:dyDescent="0.35">
      <c r="B81" s="9">
        <f t="shared" ref="B81:B144" si="17">B80+1</f>
        <v>67</v>
      </c>
      <c r="C81" s="60">
        <f t="shared" si="12"/>
        <v>6</v>
      </c>
      <c r="D81" s="61">
        <f t="shared" si="13"/>
        <v>24946337.136075441</v>
      </c>
      <c r="E81" s="62">
        <f t="shared" si="14"/>
        <v>154950.80789100332</v>
      </c>
      <c r="F81" s="103">
        <f t="shared" si="15"/>
        <v>114753.15082594703</v>
      </c>
      <c r="G81" s="103">
        <f t="shared" ref="G81:G144" si="18">E81-F81</f>
        <v>40197.657065056294</v>
      </c>
      <c r="H81" s="10">
        <f t="shared" si="16"/>
        <v>24906139.479010385</v>
      </c>
    </row>
    <row r="82" spans="2:8" x14ac:dyDescent="0.35">
      <c r="B82" s="9">
        <f t="shared" si="17"/>
        <v>68</v>
      </c>
      <c r="C82" s="60">
        <f t="shared" si="12"/>
        <v>6</v>
      </c>
      <c r="D82" s="61">
        <f t="shared" si="13"/>
        <v>24906139.479010385</v>
      </c>
      <c r="E82" s="62">
        <f t="shared" si="14"/>
        <v>154950.80789100332</v>
      </c>
      <c r="F82" s="103">
        <f t="shared" si="15"/>
        <v>114568.24160344776</v>
      </c>
      <c r="G82" s="103">
        <f t="shared" si="18"/>
        <v>40382.566287555557</v>
      </c>
      <c r="H82" s="10">
        <f t="shared" si="16"/>
        <v>24865756.91272283</v>
      </c>
    </row>
    <row r="83" spans="2:8" x14ac:dyDescent="0.35">
      <c r="B83" s="9">
        <f t="shared" si="17"/>
        <v>69</v>
      </c>
      <c r="C83" s="60">
        <f t="shared" si="12"/>
        <v>6</v>
      </c>
      <c r="D83" s="61">
        <f t="shared" si="13"/>
        <v>24865756.91272283</v>
      </c>
      <c r="E83" s="62">
        <f t="shared" si="14"/>
        <v>154950.80789100332</v>
      </c>
      <c r="F83" s="103">
        <f t="shared" si="15"/>
        <v>114382.48179852501</v>
      </c>
      <c r="G83" s="103">
        <f t="shared" si="18"/>
        <v>40568.32609247831</v>
      </c>
      <c r="H83" s="10">
        <f t="shared" si="16"/>
        <v>24825188.586630352</v>
      </c>
    </row>
    <row r="84" spans="2:8" x14ac:dyDescent="0.35">
      <c r="B84" s="9">
        <f t="shared" si="17"/>
        <v>70</v>
      </c>
      <c r="C84" s="60">
        <f t="shared" si="12"/>
        <v>6</v>
      </c>
      <c r="D84" s="61">
        <f t="shared" si="13"/>
        <v>24825188.586630352</v>
      </c>
      <c r="E84" s="62">
        <f t="shared" si="14"/>
        <v>154950.80789100332</v>
      </c>
      <c r="F84" s="103">
        <f t="shared" si="15"/>
        <v>114195.86749849962</v>
      </c>
      <c r="G84" s="103">
        <f t="shared" si="18"/>
        <v>40754.940392503704</v>
      </c>
      <c r="H84" s="10">
        <f t="shared" si="16"/>
        <v>24784433.646237846</v>
      </c>
    </row>
    <row r="85" spans="2:8" x14ac:dyDescent="0.35">
      <c r="B85" s="9">
        <f t="shared" si="17"/>
        <v>71</v>
      </c>
      <c r="C85" s="60">
        <f t="shared" si="12"/>
        <v>6</v>
      </c>
      <c r="D85" s="61">
        <f t="shared" si="13"/>
        <v>24784433.646237846</v>
      </c>
      <c r="E85" s="62">
        <f t="shared" si="14"/>
        <v>154950.80789100332</v>
      </c>
      <c r="F85" s="103">
        <f t="shared" si="15"/>
        <v>114008.3947726941</v>
      </c>
      <c r="G85" s="103">
        <f t="shared" si="18"/>
        <v>40942.413118309225</v>
      </c>
      <c r="H85" s="10">
        <f t="shared" si="16"/>
        <v>24743491.233119536</v>
      </c>
    </row>
    <row r="86" spans="2:8" x14ac:dyDescent="0.35">
      <c r="B86" s="9">
        <f t="shared" si="17"/>
        <v>72</v>
      </c>
      <c r="C86" s="60">
        <f t="shared" si="12"/>
        <v>6</v>
      </c>
      <c r="D86" s="61">
        <f t="shared" si="13"/>
        <v>24743491.233119536</v>
      </c>
      <c r="E86" s="62">
        <f t="shared" si="14"/>
        <v>154950.80789100332</v>
      </c>
      <c r="F86" s="103">
        <f t="shared" si="15"/>
        <v>113820.05967234986</v>
      </c>
      <c r="G86" s="103">
        <f t="shared" si="18"/>
        <v>41130.748218653462</v>
      </c>
      <c r="H86" s="10">
        <f t="shared" si="16"/>
        <v>24702360.484900884</v>
      </c>
    </row>
    <row r="87" spans="2:8" x14ac:dyDescent="0.35">
      <c r="B87" s="9">
        <f t="shared" si="17"/>
        <v>73</v>
      </c>
      <c r="C87" s="60">
        <f t="shared" si="12"/>
        <v>7</v>
      </c>
      <c r="D87" s="61">
        <f t="shared" si="13"/>
        <v>24702360.484900884</v>
      </c>
      <c r="E87" s="62">
        <f t="shared" si="14"/>
        <v>154950.80789100332</v>
      </c>
      <c r="F87" s="103">
        <f t="shared" si="15"/>
        <v>113630.85823054407</v>
      </c>
      <c r="G87" s="103">
        <f t="shared" si="18"/>
        <v>41319.949660459257</v>
      </c>
      <c r="H87" s="10">
        <f t="shared" si="16"/>
        <v>24661040.535240427</v>
      </c>
    </row>
    <row r="88" spans="2:8" x14ac:dyDescent="0.35">
      <c r="B88" s="9">
        <f t="shared" si="17"/>
        <v>74</v>
      </c>
      <c r="C88" s="60">
        <f t="shared" si="12"/>
        <v>7</v>
      </c>
      <c r="D88" s="61">
        <f t="shared" si="13"/>
        <v>24661040.535240427</v>
      </c>
      <c r="E88" s="62">
        <f t="shared" si="14"/>
        <v>154950.80789100332</v>
      </c>
      <c r="F88" s="103">
        <f t="shared" si="15"/>
        <v>113440.78646210596</v>
      </c>
      <c r="G88" s="103">
        <f t="shared" si="18"/>
        <v>41510.021428897366</v>
      </c>
      <c r="H88" s="10">
        <f t="shared" si="16"/>
        <v>24619530.513811529</v>
      </c>
    </row>
    <row r="89" spans="2:8" x14ac:dyDescent="0.35">
      <c r="B89" s="9">
        <f t="shared" si="17"/>
        <v>75</v>
      </c>
      <c r="C89" s="60">
        <f t="shared" si="12"/>
        <v>7</v>
      </c>
      <c r="D89" s="61">
        <f t="shared" si="13"/>
        <v>24619530.513811529</v>
      </c>
      <c r="E89" s="62">
        <f t="shared" si="14"/>
        <v>154950.80789100332</v>
      </c>
      <c r="F89" s="103">
        <f t="shared" si="15"/>
        <v>113249.84036353303</v>
      </c>
      <c r="G89" s="103">
        <f t="shared" si="18"/>
        <v>41700.967527470289</v>
      </c>
      <c r="H89" s="10">
        <f t="shared" si="16"/>
        <v>24577829.546284057</v>
      </c>
    </row>
    <row r="90" spans="2:8" x14ac:dyDescent="0.35">
      <c r="B90" s="9">
        <f t="shared" si="17"/>
        <v>76</v>
      </c>
      <c r="C90" s="60">
        <f t="shared" si="12"/>
        <v>7</v>
      </c>
      <c r="D90" s="61">
        <f t="shared" si="13"/>
        <v>24577829.546284057</v>
      </c>
      <c r="E90" s="62">
        <f t="shared" si="14"/>
        <v>154950.80789100332</v>
      </c>
      <c r="F90" s="103">
        <f t="shared" si="15"/>
        <v>113058.01591290666</v>
      </c>
      <c r="G90" s="103">
        <f t="shared" si="18"/>
        <v>41892.791978096662</v>
      </c>
      <c r="H90" s="10">
        <f t="shared" si="16"/>
        <v>24535936.754305959</v>
      </c>
    </row>
    <row r="91" spans="2:8" x14ac:dyDescent="0.35">
      <c r="B91" s="9">
        <f t="shared" si="17"/>
        <v>77</v>
      </c>
      <c r="C91" s="60">
        <f t="shared" si="12"/>
        <v>7</v>
      </c>
      <c r="D91" s="61">
        <f t="shared" si="13"/>
        <v>24535936.754305959</v>
      </c>
      <c r="E91" s="62">
        <f t="shared" si="14"/>
        <v>154950.80789100332</v>
      </c>
      <c r="F91" s="103">
        <f t="shared" si="15"/>
        <v>112865.30906980741</v>
      </c>
      <c r="G91" s="103">
        <f t="shared" si="18"/>
        <v>42085.498821195913</v>
      </c>
      <c r="H91" s="10">
        <f t="shared" si="16"/>
        <v>24493851.255484764</v>
      </c>
    </row>
    <row r="92" spans="2:8" x14ac:dyDescent="0.35">
      <c r="B92" s="9">
        <f t="shared" si="17"/>
        <v>78</v>
      </c>
      <c r="C92" s="60">
        <f t="shared" ref="C92:C155" si="19">C80+1</f>
        <v>7</v>
      </c>
      <c r="D92" s="61">
        <f t="shared" si="13"/>
        <v>24493851.255484764</v>
      </c>
      <c r="E92" s="62">
        <f t="shared" si="14"/>
        <v>154950.80789100332</v>
      </c>
      <c r="F92" s="103">
        <f t="shared" si="15"/>
        <v>112671.71577522991</v>
      </c>
      <c r="G92" s="103">
        <f t="shared" si="18"/>
        <v>42279.092115773412</v>
      </c>
      <c r="H92" s="10">
        <f t="shared" si="16"/>
        <v>24451572.163368989</v>
      </c>
    </row>
    <row r="93" spans="2:8" x14ac:dyDescent="0.35">
      <c r="B93" s="9">
        <f t="shared" si="17"/>
        <v>79</v>
      </c>
      <c r="C93" s="60">
        <f t="shared" si="19"/>
        <v>7</v>
      </c>
      <c r="D93" s="61">
        <f t="shared" si="13"/>
        <v>24451572.163368989</v>
      </c>
      <c r="E93" s="62">
        <f t="shared" si="14"/>
        <v>154950.80789100332</v>
      </c>
      <c r="F93" s="103">
        <f t="shared" si="15"/>
        <v>112477.23195149735</v>
      </c>
      <c r="G93" s="103">
        <f t="shared" si="18"/>
        <v>42473.575939505972</v>
      </c>
      <c r="H93" s="10">
        <f t="shared" si="16"/>
        <v>24409098.587429482</v>
      </c>
    </row>
    <row r="94" spans="2:8" x14ac:dyDescent="0.35">
      <c r="B94" s="9">
        <f t="shared" si="17"/>
        <v>80</v>
      </c>
      <c r="C94" s="60">
        <f t="shared" si="19"/>
        <v>7</v>
      </c>
      <c r="D94" s="61">
        <f t="shared" si="13"/>
        <v>24409098.587429482</v>
      </c>
      <c r="E94" s="62">
        <f t="shared" si="14"/>
        <v>154950.80789100332</v>
      </c>
      <c r="F94" s="103">
        <f t="shared" si="15"/>
        <v>112281.85350217561</v>
      </c>
      <c r="G94" s="103">
        <f t="shared" si="18"/>
        <v>42668.954388827711</v>
      </c>
      <c r="H94" s="10">
        <f t="shared" si="16"/>
        <v>24366429.633040655</v>
      </c>
    </row>
    <row r="95" spans="2:8" x14ac:dyDescent="0.35">
      <c r="B95" s="9">
        <f t="shared" si="17"/>
        <v>81</v>
      </c>
      <c r="C95" s="60">
        <f t="shared" si="19"/>
        <v>7</v>
      </c>
      <c r="D95" s="61">
        <f t="shared" si="13"/>
        <v>24366429.633040655</v>
      </c>
      <c r="E95" s="62">
        <f t="shared" si="14"/>
        <v>154950.80789100332</v>
      </c>
      <c r="F95" s="103">
        <f t="shared" si="15"/>
        <v>112085.57631198701</v>
      </c>
      <c r="G95" s="103">
        <f t="shared" si="18"/>
        <v>42865.231579016312</v>
      </c>
      <c r="H95" s="10">
        <f t="shared" si="16"/>
        <v>24323564.401461639</v>
      </c>
    </row>
    <row r="96" spans="2:8" x14ac:dyDescent="0.35">
      <c r="B96" s="9">
        <f t="shared" si="17"/>
        <v>82</v>
      </c>
      <c r="C96" s="60">
        <f t="shared" si="19"/>
        <v>7</v>
      </c>
      <c r="D96" s="61">
        <f t="shared" si="13"/>
        <v>24323564.401461639</v>
      </c>
      <c r="E96" s="62">
        <f t="shared" si="14"/>
        <v>154950.80789100332</v>
      </c>
      <c r="F96" s="103">
        <f t="shared" si="15"/>
        <v>111888.39624672354</v>
      </c>
      <c r="G96" s="103">
        <f t="shared" si="18"/>
        <v>43062.411644279782</v>
      </c>
      <c r="H96" s="10">
        <f t="shared" si="16"/>
        <v>24280501.989817359</v>
      </c>
    </row>
    <row r="97" spans="2:8" x14ac:dyDescent="0.35">
      <c r="B97" s="9">
        <f t="shared" si="17"/>
        <v>83</v>
      </c>
      <c r="C97" s="60">
        <f t="shared" si="19"/>
        <v>7</v>
      </c>
      <c r="D97" s="61">
        <f t="shared" si="13"/>
        <v>24280501.989817359</v>
      </c>
      <c r="E97" s="62">
        <f t="shared" si="14"/>
        <v>154950.80789100332</v>
      </c>
      <c r="F97" s="103">
        <f t="shared" si="15"/>
        <v>111690.30915315985</v>
      </c>
      <c r="G97" s="103">
        <f t="shared" si="18"/>
        <v>43260.498737843474</v>
      </c>
      <c r="H97" s="10">
        <f t="shared" si="16"/>
        <v>24237241.491079517</v>
      </c>
    </row>
    <row r="98" spans="2:8" x14ac:dyDescent="0.35">
      <c r="B98" s="9">
        <f t="shared" si="17"/>
        <v>84</v>
      </c>
      <c r="C98" s="60">
        <f t="shared" si="19"/>
        <v>7</v>
      </c>
      <c r="D98" s="61">
        <f t="shared" si="13"/>
        <v>24237241.491079517</v>
      </c>
      <c r="E98" s="62">
        <f t="shared" si="14"/>
        <v>154950.80789100332</v>
      </c>
      <c r="F98" s="103">
        <f t="shared" si="15"/>
        <v>111491.31085896578</v>
      </c>
      <c r="G98" s="103">
        <f t="shared" si="18"/>
        <v>43459.497032037543</v>
      </c>
      <c r="H98" s="10">
        <f t="shared" si="16"/>
        <v>24193781.994047478</v>
      </c>
    </row>
    <row r="99" spans="2:8" x14ac:dyDescent="0.35">
      <c r="B99" s="9">
        <f t="shared" si="17"/>
        <v>85</v>
      </c>
      <c r="C99" s="60">
        <f t="shared" si="19"/>
        <v>8</v>
      </c>
      <c r="D99" s="61">
        <f t="shared" si="13"/>
        <v>24193781.994047478</v>
      </c>
      <c r="E99" s="62">
        <f t="shared" si="14"/>
        <v>154950.80789100332</v>
      </c>
      <c r="F99" s="103">
        <f t="shared" si="15"/>
        <v>111291.3971726184</v>
      </c>
      <c r="G99" s="103">
        <f t="shared" si="18"/>
        <v>43659.410718384926</v>
      </c>
      <c r="H99" s="10">
        <f t="shared" si="16"/>
        <v>24150122.583329093</v>
      </c>
    </row>
    <row r="100" spans="2:8" x14ac:dyDescent="0.35">
      <c r="B100" s="9">
        <f t="shared" si="17"/>
        <v>86</v>
      </c>
      <c r="C100" s="60">
        <f t="shared" si="19"/>
        <v>8</v>
      </c>
      <c r="D100" s="61">
        <f t="shared" si="13"/>
        <v>24150122.583329093</v>
      </c>
      <c r="E100" s="62">
        <f t="shared" si="14"/>
        <v>154950.80789100332</v>
      </c>
      <c r="F100" s="103">
        <f t="shared" si="15"/>
        <v>111090.56388331382</v>
      </c>
      <c r="G100" s="103">
        <f t="shared" si="18"/>
        <v>43860.2440076895</v>
      </c>
      <c r="H100" s="10">
        <f t="shared" si="16"/>
        <v>24106262.339321405</v>
      </c>
    </row>
    <row r="101" spans="2:8" x14ac:dyDescent="0.35">
      <c r="B101" s="9">
        <f t="shared" si="17"/>
        <v>87</v>
      </c>
      <c r="C101" s="60">
        <f t="shared" si="19"/>
        <v>8</v>
      </c>
      <c r="D101" s="61">
        <f t="shared" si="13"/>
        <v>24106262.339321405</v>
      </c>
      <c r="E101" s="62">
        <f t="shared" si="14"/>
        <v>154950.80789100332</v>
      </c>
      <c r="F101" s="103">
        <f t="shared" si="15"/>
        <v>110888.80676087846</v>
      </c>
      <c r="G101" s="103">
        <f t="shared" si="18"/>
        <v>44062.00113012486</v>
      </c>
      <c r="H101" s="10">
        <f t="shared" si="16"/>
        <v>24062200.338191278</v>
      </c>
    </row>
    <row r="102" spans="2:8" x14ac:dyDescent="0.35">
      <c r="B102" s="9">
        <f t="shared" si="17"/>
        <v>88</v>
      </c>
      <c r="C102" s="60">
        <f t="shared" si="19"/>
        <v>8</v>
      </c>
      <c r="D102" s="61">
        <f t="shared" si="13"/>
        <v>24062200.338191278</v>
      </c>
      <c r="E102" s="62">
        <f t="shared" si="14"/>
        <v>154950.80789100332</v>
      </c>
      <c r="F102" s="103">
        <f t="shared" si="15"/>
        <v>110686.12155567989</v>
      </c>
      <c r="G102" s="103">
        <f t="shared" si="18"/>
        <v>44264.686335323437</v>
      </c>
      <c r="H102" s="10">
        <f t="shared" si="16"/>
        <v>24017935.651855953</v>
      </c>
    </row>
    <row r="103" spans="2:8" x14ac:dyDescent="0.35">
      <c r="B103" s="9">
        <f t="shared" si="17"/>
        <v>89</v>
      </c>
      <c r="C103" s="60">
        <f t="shared" si="19"/>
        <v>8</v>
      </c>
      <c r="D103" s="61">
        <f t="shared" si="13"/>
        <v>24017935.651855953</v>
      </c>
      <c r="E103" s="62">
        <f t="shared" si="14"/>
        <v>154950.80789100332</v>
      </c>
      <c r="F103" s="103">
        <f t="shared" si="15"/>
        <v>110482.50399853739</v>
      </c>
      <c r="G103" s="103">
        <f t="shared" si="18"/>
        <v>44468.303892465934</v>
      </c>
      <c r="H103" s="10">
        <f t="shared" si="16"/>
        <v>23973467.347963486</v>
      </c>
    </row>
    <row r="104" spans="2:8" x14ac:dyDescent="0.35">
      <c r="B104" s="9">
        <f t="shared" si="17"/>
        <v>90</v>
      </c>
      <c r="C104" s="60">
        <f t="shared" si="19"/>
        <v>8</v>
      </c>
      <c r="D104" s="61">
        <f t="shared" si="13"/>
        <v>23973467.347963486</v>
      </c>
      <c r="E104" s="62">
        <f t="shared" si="14"/>
        <v>154950.80789100332</v>
      </c>
      <c r="F104" s="103">
        <f t="shared" si="15"/>
        <v>110277.94980063204</v>
      </c>
      <c r="G104" s="103">
        <f t="shared" si="18"/>
        <v>44672.858090371286</v>
      </c>
      <c r="H104" s="10">
        <f t="shared" si="16"/>
        <v>23928794.489873115</v>
      </c>
    </row>
    <row r="105" spans="2:8" x14ac:dyDescent="0.35">
      <c r="B105" s="9">
        <f t="shared" si="17"/>
        <v>91</v>
      </c>
      <c r="C105" s="60">
        <f t="shared" si="19"/>
        <v>8</v>
      </c>
      <c r="D105" s="61">
        <f t="shared" si="13"/>
        <v>23928794.489873115</v>
      </c>
      <c r="E105" s="62">
        <f t="shared" si="14"/>
        <v>154950.80789100332</v>
      </c>
      <c r="F105" s="103">
        <f t="shared" si="15"/>
        <v>110072.45465341632</v>
      </c>
      <c r="G105" s="103">
        <f t="shared" si="18"/>
        <v>44878.353237586998</v>
      </c>
      <c r="H105" s="10">
        <f t="shared" si="16"/>
        <v>23883916.136635527</v>
      </c>
    </row>
    <row r="106" spans="2:8" x14ac:dyDescent="0.35">
      <c r="B106" s="9">
        <f t="shared" si="17"/>
        <v>92</v>
      </c>
      <c r="C106" s="60">
        <f t="shared" si="19"/>
        <v>8</v>
      </c>
      <c r="D106" s="61">
        <f t="shared" si="13"/>
        <v>23883916.136635527</v>
      </c>
      <c r="E106" s="62">
        <f t="shared" si="14"/>
        <v>154950.80789100332</v>
      </c>
      <c r="F106" s="103">
        <f t="shared" si="15"/>
        <v>109866.01422852342</v>
      </c>
      <c r="G106" s="103">
        <f t="shared" si="18"/>
        <v>45084.793662479904</v>
      </c>
      <c r="H106" s="10">
        <f t="shared" si="16"/>
        <v>23838831.342973046</v>
      </c>
    </row>
    <row r="107" spans="2:8" x14ac:dyDescent="0.35">
      <c r="B107" s="9">
        <f t="shared" si="17"/>
        <v>93</v>
      </c>
      <c r="C107" s="60">
        <f t="shared" si="19"/>
        <v>8</v>
      </c>
      <c r="D107" s="61">
        <f t="shared" si="13"/>
        <v>23838831.342973046</v>
      </c>
      <c r="E107" s="62">
        <f t="shared" si="14"/>
        <v>154950.80789100332</v>
      </c>
      <c r="F107" s="103">
        <f t="shared" si="15"/>
        <v>109658.62417767601</v>
      </c>
      <c r="G107" s="103">
        <f t="shared" si="18"/>
        <v>45292.183713327307</v>
      </c>
      <c r="H107" s="10">
        <f t="shared" si="16"/>
        <v>23793539.159259718</v>
      </c>
    </row>
    <row r="108" spans="2:8" x14ac:dyDescent="0.35">
      <c r="B108" s="9">
        <f t="shared" si="17"/>
        <v>94</v>
      </c>
      <c r="C108" s="60">
        <f t="shared" si="19"/>
        <v>8</v>
      </c>
      <c r="D108" s="61">
        <f t="shared" si="13"/>
        <v>23793539.159259718</v>
      </c>
      <c r="E108" s="62">
        <f t="shared" si="14"/>
        <v>154950.80789100332</v>
      </c>
      <c r="F108" s="103">
        <f t="shared" si="15"/>
        <v>109450.28013259471</v>
      </c>
      <c r="G108" s="103">
        <f t="shared" si="18"/>
        <v>45500.527758408614</v>
      </c>
      <c r="H108" s="10">
        <f t="shared" si="16"/>
        <v>23748038.63150131</v>
      </c>
    </row>
    <row r="109" spans="2:8" x14ac:dyDescent="0.35">
      <c r="B109" s="9">
        <f t="shared" si="17"/>
        <v>95</v>
      </c>
      <c r="C109" s="60">
        <f t="shared" si="19"/>
        <v>8</v>
      </c>
      <c r="D109" s="61">
        <f t="shared" si="13"/>
        <v>23748038.63150131</v>
      </c>
      <c r="E109" s="62">
        <f t="shared" si="14"/>
        <v>154950.80789100332</v>
      </c>
      <c r="F109" s="103">
        <f t="shared" si="15"/>
        <v>109240.97770490602</v>
      </c>
      <c r="G109" s="103">
        <f t="shared" si="18"/>
        <v>45709.830186097301</v>
      </c>
      <c r="H109" s="10">
        <f t="shared" si="16"/>
        <v>23702328.801315211</v>
      </c>
    </row>
    <row r="110" spans="2:8" x14ac:dyDescent="0.35">
      <c r="B110" s="9">
        <f t="shared" si="17"/>
        <v>96</v>
      </c>
      <c r="C110" s="60">
        <f t="shared" si="19"/>
        <v>8</v>
      </c>
      <c r="D110" s="61">
        <f t="shared" si="13"/>
        <v>23702328.801315211</v>
      </c>
      <c r="E110" s="62">
        <f t="shared" si="14"/>
        <v>154950.80789100332</v>
      </c>
      <c r="F110" s="103">
        <f t="shared" si="15"/>
        <v>109030.71248604996</v>
      </c>
      <c r="G110" s="103">
        <f t="shared" si="18"/>
        <v>45920.095404953361</v>
      </c>
      <c r="H110" s="10">
        <f t="shared" si="16"/>
        <v>23656408.705910258</v>
      </c>
    </row>
    <row r="111" spans="2:8" x14ac:dyDescent="0.35">
      <c r="B111" s="9">
        <f t="shared" si="17"/>
        <v>97</v>
      </c>
      <c r="C111" s="60">
        <f t="shared" si="19"/>
        <v>9</v>
      </c>
      <c r="D111" s="61">
        <f t="shared" si="13"/>
        <v>23656408.705910258</v>
      </c>
      <c r="E111" s="62">
        <f t="shared" si="14"/>
        <v>154950.80789100332</v>
      </c>
      <c r="F111" s="103">
        <f t="shared" si="15"/>
        <v>108819.48004718719</v>
      </c>
      <c r="G111" s="103">
        <f t="shared" si="18"/>
        <v>46131.327843816136</v>
      </c>
      <c r="H111" s="10">
        <f t="shared" si="16"/>
        <v>23610277.378066443</v>
      </c>
    </row>
    <row r="112" spans="2:8" x14ac:dyDescent="0.35">
      <c r="B112" s="9">
        <f t="shared" si="17"/>
        <v>98</v>
      </c>
      <c r="C112" s="60">
        <f t="shared" si="19"/>
        <v>9</v>
      </c>
      <c r="D112" s="61">
        <f t="shared" si="13"/>
        <v>23610277.378066443</v>
      </c>
      <c r="E112" s="62">
        <f t="shared" si="14"/>
        <v>154950.80789100332</v>
      </c>
      <c r="F112" s="103">
        <f t="shared" si="15"/>
        <v>108607.27593910563</v>
      </c>
      <c r="G112" s="103">
        <f t="shared" si="18"/>
        <v>46343.53195189769</v>
      </c>
      <c r="H112" s="10">
        <f t="shared" si="16"/>
        <v>23563933.846114546</v>
      </c>
    </row>
    <row r="113" spans="2:8" x14ac:dyDescent="0.35">
      <c r="B113" s="9">
        <f t="shared" si="17"/>
        <v>99</v>
      </c>
      <c r="C113" s="60">
        <f t="shared" si="19"/>
        <v>9</v>
      </c>
      <c r="D113" s="61">
        <f t="shared" si="13"/>
        <v>23563933.846114546</v>
      </c>
      <c r="E113" s="62">
        <f t="shared" si="14"/>
        <v>154950.80789100332</v>
      </c>
      <c r="F113" s="103">
        <f t="shared" si="15"/>
        <v>108394.09569212691</v>
      </c>
      <c r="G113" s="103">
        <f t="shared" si="18"/>
        <v>46556.712198876412</v>
      </c>
      <c r="H113" s="10">
        <f t="shared" si="16"/>
        <v>23517377.13391567</v>
      </c>
    </row>
    <row r="114" spans="2:8" x14ac:dyDescent="0.35">
      <c r="B114" s="9">
        <f t="shared" si="17"/>
        <v>100</v>
      </c>
      <c r="C114" s="60">
        <f t="shared" si="19"/>
        <v>9</v>
      </c>
      <c r="D114" s="61">
        <f t="shared" si="13"/>
        <v>23517377.13391567</v>
      </c>
      <c r="E114" s="62">
        <f t="shared" si="14"/>
        <v>154950.80789100332</v>
      </c>
      <c r="F114" s="103">
        <f t="shared" si="15"/>
        <v>108179.93481601209</v>
      </c>
      <c r="G114" s="103">
        <f t="shared" si="18"/>
        <v>46770.873074991236</v>
      </c>
      <c r="H114" s="10">
        <f t="shared" si="16"/>
        <v>23470606.26084068</v>
      </c>
    </row>
    <row r="115" spans="2:8" x14ac:dyDescent="0.35">
      <c r="B115" s="9">
        <f t="shared" si="17"/>
        <v>101</v>
      </c>
      <c r="C115" s="60">
        <f t="shared" si="19"/>
        <v>9</v>
      </c>
      <c r="D115" s="61">
        <f t="shared" si="13"/>
        <v>23470606.26084068</v>
      </c>
      <c r="E115" s="62">
        <f t="shared" si="14"/>
        <v>154950.80789100332</v>
      </c>
      <c r="F115" s="103">
        <f t="shared" si="15"/>
        <v>107964.78879986712</v>
      </c>
      <c r="G115" s="103">
        <f t="shared" si="18"/>
        <v>46986.019091136201</v>
      </c>
      <c r="H115" s="10">
        <f t="shared" si="16"/>
        <v>23423620.241749544</v>
      </c>
    </row>
    <row r="116" spans="2:8" x14ac:dyDescent="0.35">
      <c r="B116" s="9">
        <f t="shared" si="17"/>
        <v>102</v>
      </c>
      <c r="C116" s="60">
        <f t="shared" si="19"/>
        <v>9</v>
      </c>
      <c r="D116" s="61">
        <f t="shared" si="13"/>
        <v>23423620.241749544</v>
      </c>
      <c r="E116" s="62">
        <f t="shared" si="14"/>
        <v>154950.80789100332</v>
      </c>
      <c r="F116" s="103">
        <f t="shared" si="15"/>
        <v>107748.6531120479</v>
      </c>
      <c r="G116" s="103">
        <f t="shared" si="18"/>
        <v>47202.154778955417</v>
      </c>
      <c r="H116" s="10">
        <f t="shared" si="16"/>
        <v>23376418.08697059</v>
      </c>
    </row>
    <row r="117" spans="2:8" x14ac:dyDescent="0.35">
      <c r="B117" s="9">
        <f t="shared" si="17"/>
        <v>103</v>
      </c>
      <c r="C117" s="60">
        <f t="shared" si="19"/>
        <v>9</v>
      </c>
      <c r="D117" s="61">
        <f t="shared" si="13"/>
        <v>23376418.08697059</v>
      </c>
      <c r="E117" s="62">
        <f t="shared" si="14"/>
        <v>154950.80789100332</v>
      </c>
      <c r="F117" s="103">
        <f t="shared" si="15"/>
        <v>107531.52320006471</v>
      </c>
      <c r="G117" s="103">
        <f t="shared" si="18"/>
        <v>47419.284690938613</v>
      </c>
      <c r="H117" s="10">
        <f t="shared" si="16"/>
        <v>23328998.802279651</v>
      </c>
    </row>
    <row r="118" spans="2:8" x14ac:dyDescent="0.35">
      <c r="B118" s="9">
        <f t="shared" si="17"/>
        <v>104</v>
      </c>
      <c r="C118" s="60">
        <f t="shared" si="19"/>
        <v>9</v>
      </c>
      <c r="D118" s="61">
        <f t="shared" si="13"/>
        <v>23328998.802279651</v>
      </c>
      <c r="E118" s="62">
        <f t="shared" si="14"/>
        <v>154950.80789100332</v>
      </c>
      <c r="F118" s="103">
        <f t="shared" si="15"/>
        <v>107313.39449048639</v>
      </c>
      <c r="G118" s="103">
        <f t="shared" si="18"/>
        <v>47637.413400516933</v>
      </c>
      <c r="H118" s="10">
        <f t="shared" si="16"/>
        <v>23281361.388879135</v>
      </c>
    </row>
    <row r="119" spans="2:8" x14ac:dyDescent="0.35">
      <c r="B119" s="9">
        <f t="shared" si="17"/>
        <v>105</v>
      </c>
      <c r="C119" s="60">
        <f t="shared" si="19"/>
        <v>9</v>
      </c>
      <c r="D119" s="61">
        <f t="shared" si="13"/>
        <v>23281361.388879135</v>
      </c>
      <c r="E119" s="62">
        <f t="shared" si="14"/>
        <v>154950.80789100332</v>
      </c>
      <c r="F119" s="103">
        <f t="shared" si="15"/>
        <v>107094.26238884401</v>
      </c>
      <c r="G119" s="103">
        <f t="shared" si="18"/>
        <v>47856.545502159308</v>
      </c>
      <c r="H119" s="10">
        <f t="shared" si="16"/>
        <v>23233504.843376976</v>
      </c>
    </row>
    <row r="120" spans="2:8" x14ac:dyDescent="0.35">
      <c r="B120" s="9">
        <f t="shared" si="17"/>
        <v>106</v>
      </c>
      <c r="C120" s="60">
        <f t="shared" si="19"/>
        <v>9</v>
      </c>
      <c r="D120" s="61">
        <f t="shared" si="13"/>
        <v>23233504.843376976</v>
      </c>
      <c r="E120" s="62">
        <f t="shared" si="14"/>
        <v>154950.80789100332</v>
      </c>
      <c r="F120" s="103">
        <f t="shared" si="15"/>
        <v>106874.12227953409</v>
      </c>
      <c r="G120" s="103">
        <f t="shared" si="18"/>
        <v>48076.685611469235</v>
      </c>
      <c r="H120" s="10">
        <f t="shared" si="16"/>
        <v>23185428.157765508</v>
      </c>
    </row>
    <row r="121" spans="2:8" x14ac:dyDescent="0.35">
      <c r="B121" s="9">
        <f t="shared" si="17"/>
        <v>107</v>
      </c>
      <c r="C121" s="60">
        <f t="shared" si="19"/>
        <v>9</v>
      </c>
      <c r="D121" s="61">
        <f t="shared" si="13"/>
        <v>23185428.157765508</v>
      </c>
      <c r="E121" s="62">
        <f t="shared" si="14"/>
        <v>154950.80789100332</v>
      </c>
      <c r="F121" s="103">
        <f t="shared" si="15"/>
        <v>106652.96952572133</v>
      </c>
      <c r="G121" s="103">
        <f t="shared" si="18"/>
        <v>48297.83836528199</v>
      </c>
      <c r="H121" s="10">
        <f t="shared" si="16"/>
        <v>23137130.319400225</v>
      </c>
    </row>
    <row r="122" spans="2:8" x14ac:dyDescent="0.35">
      <c r="B122" s="9">
        <f t="shared" si="17"/>
        <v>108</v>
      </c>
      <c r="C122" s="60">
        <f t="shared" si="19"/>
        <v>9</v>
      </c>
      <c r="D122" s="61">
        <f t="shared" si="13"/>
        <v>23137130.319400225</v>
      </c>
      <c r="E122" s="62">
        <f t="shared" si="14"/>
        <v>154950.80789100332</v>
      </c>
      <c r="F122" s="103">
        <f t="shared" si="15"/>
        <v>106430.79946924103</v>
      </c>
      <c r="G122" s="103">
        <f t="shared" si="18"/>
        <v>48520.008421762293</v>
      </c>
      <c r="H122" s="10">
        <f t="shared" si="16"/>
        <v>23088610.310978461</v>
      </c>
    </row>
    <row r="123" spans="2:8" x14ac:dyDescent="0.35">
      <c r="B123" s="9">
        <f t="shared" si="17"/>
        <v>109</v>
      </c>
      <c r="C123" s="60">
        <f t="shared" si="19"/>
        <v>10</v>
      </c>
      <c r="D123" s="61">
        <f t="shared" si="13"/>
        <v>23088610.310978461</v>
      </c>
      <c r="E123" s="62">
        <f t="shared" si="14"/>
        <v>154950.80789100332</v>
      </c>
      <c r="F123" s="103">
        <f t="shared" si="15"/>
        <v>106207.60743050092</v>
      </c>
      <c r="G123" s="103">
        <f t="shared" si="18"/>
        <v>48743.200460502398</v>
      </c>
      <c r="H123" s="10">
        <f t="shared" si="16"/>
        <v>23039867.11051796</v>
      </c>
    </row>
    <row r="124" spans="2:8" x14ac:dyDescent="0.35">
      <c r="B124" s="9">
        <f t="shared" si="17"/>
        <v>110</v>
      </c>
      <c r="C124" s="60">
        <f t="shared" si="19"/>
        <v>10</v>
      </c>
      <c r="D124" s="61">
        <f t="shared" si="13"/>
        <v>23039867.11051796</v>
      </c>
      <c r="E124" s="62">
        <f t="shared" si="14"/>
        <v>154950.80789100332</v>
      </c>
      <c r="F124" s="103">
        <f t="shared" si="15"/>
        <v>105983.38870838261</v>
      </c>
      <c r="G124" s="103">
        <f t="shared" si="18"/>
        <v>48967.41918262071</v>
      </c>
      <c r="H124" s="10">
        <f t="shared" si="16"/>
        <v>22990899.691335339</v>
      </c>
    </row>
    <row r="125" spans="2:8" x14ac:dyDescent="0.35">
      <c r="B125" s="9">
        <f t="shared" si="17"/>
        <v>111</v>
      </c>
      <c r="C125" s="60">
        <f t="shared" si="19"/>
        <v>10</v>
      </c>
      <c r="D125" s="61">
        <f t="shared" si="13"/>
        <v>22990899.691335339</v>
      </c>
      <c r="E125" s="62">
        <f t="shared" si="14"/>
        <v>154950.80789100332</v>
      </c>
      <c r="F125" s="103">
        <f t="shared" si="15"/>
        <v>105758.13858014256</v>
      </c>
      <c r="G125" s="103">
        <f t="shared" si="18"/>
        <v>49192.669310860758</v>
      </c>
      <c r="H125" s="10">
        <f t="shared" si="16"/>
        <v>22941707.022024479</v>
      </c>
    </row>
    <row r="126" spans="2:8" x14ac:dyDescent="0.35">
      <c r="B126" s="9">
        <f t="shared" si="17"/>
        <v>112</v>
      </c>
      <c r="C126" s="60">
        <f t="shared" si="19"/>
        <v>10</v>
      </c>
      <c r="D126" s="61">
        <f t="shared" si="13"/>
        <v>22941707.022024479</v>
      </c>
      <c r="E126" s="62">
        <f t="shared" si="14"/>
        <v>154950.80789100332</v>
      </c>
      <c r="F126" s="103">
        <f t="shared" si="15"/>
        <v>105531.8523013126</v>
      </c>
      <c r="G126" s="103">
        <f t="shared" si="18"/>
        <v>49418.955589690726</v>
      </c>
      <c r="H126" s="10">
        <f t="shared" si="16"/>
        <v>22892288.066434789</v>
      </c>
    </row>
    <row r="127" spans="2:8" x14ac:dyDescent="0.35">
      <c r="B127" s="9">
        <f t="shared" si="17"/>
        <v>113</v>
      </c>
      <c r="C127" s="60">
        <f t="shared" si="19"/>
        <v>10</v>
      </c>
      <c r="D127" s="61">
        <f t="shared" si="13"/>
        <v>22892288.066434789</v>
      </c>
      <c r="E127" s="62">
        <f t="shared" si="14"/>
        <v>154950.80789100332</v>
      </c>
      <c r="F127" s="103">
        <f t="shared" si="15"/>
        <v>105304.52510560003</v>
      </c>
      <c r="G127" s="103">
        <f t="shared" si="18"/>
        <v>49646.282785403295</v>
      </c>
      <c r="H127" s="10">
        <f t="shared" si="16"/>
        <v>22842641.783649385</v>
      </c>
    </row>
    <row r="128" spans="2:8" x14ac:dyDescent="0.35">
      <c r="B128" s="9">
        <f t="shared" si="17"/>
        <v>114</v>
      </c>
      <c r="C128" s="60">
        <f t="shared" si="19"/>
        <v>10</v>
      </c>
      <c r="D128" s="61">
        <f t="shared" si="13"/>
        <v>22842641.783649385</v>
      </c>
      <c r="E128" s="62">
        <f t="shared" si="14"/>
        <v>154950.80789100332</v>
      </c>
      <c r="F128" s="103">
        <f t="shared" si="15"/>
        <v>105076.15220478717</v>
      </c>
      <c r="G128" s="103">
        <f t="shared" si="18"/>
        <v>49874.655686216152</v>
      </c>
      <c r="H128" s="10">
        <f t="shared" si="16"/>
        <v>22792767.12796317</v>
      </c>
    </row>
    <row r="129" spans="2:8" x14ac:dyDescent="0.35">
      <c r="B129" s="9">
        <f t="shared" si="17"/>
        <v>115</v>
      </c>
      <c r="C129" s="60">
        <f t="shared" si="19"/>
        <v>10</v>
      </c>
      <c r="D129" s="61">
        <f t="shared" si="13"/>
        <v>22792767.12796317</v>
      </c>
      <c r="E129" s="62">
        <f t="shared" si="14"/>
        <v>154950.80789100332</v>
      </c>
      <c r="F129" s="103">
        <f t="shared" si="15"/>
        <v>104846.72878863059</v>
      </c>
      <c r="G129" s="103">
        <f t="shared" si="18"/>
        <v>50104.079102372736</v>
      </c>
      <c r="H129" s="10">
        <f t="shared" si="16"/>
        <v>22742663.0488608</v>
      </c>
    </row>
    <row r="130" spans="2:8" x14ac:dyDescent="0.35">
      <c r="B130" s="9">
        <f t="shared" si="17"/>
        <v>116</v>
      </c>
      <c r="C130" s="60">
        <f t="shared" si="19"/>
        <v>10</v>
      </c>
      <c r="D130" s="61">
        <f t="shared" si="13"/>
        <v>22742663.0488608</v>
      </c>
      <c r="E130" s="62">
        <f t="shared" si="14"/>
        <v>154950.80789100332</v>
      </c>
      <c r="F130" s="103">
        <f t="shared" si="15"/>
        <v>104616.25002475968</v>
      </c>
      <c r="G130" s="103">
        <f t="shared" si="18"/>
        <v>50334.557866243646</v>
      </c>
      <c r="H130" s="10">
        <f t="shared" si="16"/>
        <v>22692328.490994558</v>
      </c>
    </row>
    <row r="131" spans="2:8" x14ac:dyDescent="0.35">
      <c r="B131" s="9">
        <f t="shared" si="17"/>
        <v>117</v>
      </c>
      <c r="C131" s="60">
        <f t="shared" si="19"/>
        <v>10</v>
      </c>
      <c r="D131" s="61">
        <f t="shared" si="13"/>
        <v>22692328.490994558</v>
      </c>
      <c r="E131" s="62">
        <f t="shared" si="14"/>
        <v>154950.80789100332</v>
      </c>
      <c r="F131" s="103">
        <f t="shared" si="15"/>
        <v>104384.71105857496</v>
      </c>
      <c r="G131" s="103">
        <f t="shared" si="18"/>
        <v>50566.09683242836</v>
      </c>
      <c r="H131" s="10">
        <f t="shared" si="16"/>
        <v>22641762.39416213</v>
      </c>
    </row>
    <row r="132" spans="2:8" x14ac:dyDescent="0.35">
      <c r="B132" s="9">
        <f t="shared" si="17"/>
        <v>118</v>
      </c>
      <c r="C132" s="60">
        <f t="shared" si="19"/>
        <v>10</v>
      </c>
      <c r="D132" s="61">
        <f t="shared" si="13"/>
        <v>22641762.39416213</v>
      </c>
      <c r="E132" s="62">
        <f t="shared" si="14"/>
        <v>154950.80789100332</v>
      </c>
      <c r="F132" s="103">
        <f t="shared" si="15"/>
        <v>104152.1070131458</v>
      </c>
      <c r="G132" s="103">
        <f t="shared" si="18"/>
        <v>50798.700877857525</v>
      </c>
      <c r="H132" s="10">
        <f t="shared" si="16"/>
        <v>22590963.693284273</v>
      </c>
    </row>
    <row r="133" spans="2:8" x14ac:dyDescent="0.35">
      <c r="B133" s="9">
        <f t="shared" si="17"/>
        <v>119</v>
      </c>
      <c r="C133" s="60">
        <f t="shared" si="19"/>
        <v>10</v>
      </c>
      <c r="D133" s="61">
        <f t="shared" si="13"/>
        <v>22590963.693284273</v>
      </c>
      <c r="E133" s="62">
        <f t="shared" si="14"/>
        <v>154950.80789100332</v>
      </c>
      <c r="F133" s="103">
        <f t="shared" si="15"/>
        <v>103918.43298910765</v>
      </c>
      <c r="G133" s="103">
        <f t="shared" si="18"/>
        <v>51032.374901895673</v>
      </c>
      <c r="H133" s="10">
        <f t="shared" si="16"/>
        <v>22539931.318382379</v>
      </c>
    </row>
    <row r="134" spans="2:8" x14ac:dyDescent="0.35">
      <c r="B134" s="9">
        <f t="shared" si="17"/>
        <v>120</v>
      </c>
      <c r="C134" s="60">
        <f t="shared" si="19"/>
        <v>10</v>
      </c>
      <c r="D134" s="61">
        <f t="shared" si="13"/>
        <v>22539931.318382379</v>
      </c>
      <c r="E134" s="62">
        <f t="shared" si="14"/>
        <v>154950.80789100332</v>
      </c>
      <c r="F134" s="103">
        <f t="shared" si="15"/>
        <v>103683.68406455894</v>
      </c>
      <c r="G134" s="103">
        <f t="shared" si="18"/>
        <v>51267.123826444382</v>
      </c>
      <c r="H134" s="10">
        <f t="shared" si="16"/>
        <v>22488664.194555935</v>
      </c>
    </row>
    <row r="135" spans="2:8" x14ac:dyDescent="0.35">
      <c r="B135" s="9">
        <f t="shared" si="17"/>
        <v>121</v>
      </c>
      <c r="C135" s="60">
        <f t="shared" si="19"/>
        <v>11</v>
      </c>
      <c r="D135" s="61">
        <f t="shared" si="13"/>
        <v>22488664.194555935</v>
      </c>
      <c r="E135" s="62">
        <f t="shared" si="14"/>
        <v>154950.80789100332</v>
      </c>
      <c r="F135" s="103">
        <f t="shared" si="15"/>
        <v>103447.85529495729</v>
      </c>
      <c r="G135" s="103">
        <f t="shared" si="18"/>
        <v>51502.952596046031</v>
      </c>
      <c r="H135" s="10">
        <f t="shared" si="16"/>
        <v>22437161.241959888</v>
      </c>
    </row>
    <row r="136" spans="2:8" x14ac:dyDescent="0.35">
      <c r="B136" s="9">
        <f t="shared" si="17"/>
        <v>122</v>
      </c>
      <c r="C136" s="60">
        <f t="shared" si="19"/>
        <v>11</v>
      </c>
      <c r="D136" s="61">
        <f t="shared" si="13"/>
        <v>22437161.241959888</v>
      </c>
      <c r="E136" s="62">
        <f t="shared" si="14"/>
        <v>154950.80789100332</v>
      </c>
      <c r="F136" s="103">
        <f t="shared" si="15"/>
        <v>103210.94171301549</v>
      </c>
      <c r="G136" s="103">
        <f t="shared" si="18"/>
        <v>51739.866177987831</v>
      </c>
      <c r="H136" s="10">
        <f t="shared" si="16"/>
        <v>22385421.375781901</v>
      </c>
    </row>
    <row r="137" spans="2:8" x14ac:dyDescent="0.35">
      <c r="B137" s="9">
        <f t="shared" si="17"/>
        <v>123</v>
      </c>
      <c r="C137" s="60">
        <f t="shared" si="19"/>
        <v>11</v>
      </c>
      <c r="D137" s="61">
        <f t="shared" si="13"/>
        <v>22385421.375781901</v>
      </c>
      <c r="E137" s="62">
        <f t="shared" si="14"/>
        <v>154950.80789100332</v>
      </c>
      <c r="F137" s="103">
        <f t="shared" si="15"/>
        <v>102972.93832859675</v>
      </c>
      <c r="G137" s="103">
        <f t="shared" si="18"/>
        <v>51977.869562406573</v>
      </c>
      <c r="H137" s="10">
        <f t="shared" si="16"/>
        <v>22333443.506219495</v>
      </c>
    </row>
    <row r="138" spans="2:8" x14ac:dyDescent="0.35">
      <c r="B138" s="9">
        <f t="shared" si="17"/>
        <v>124</v>
      </c>
      <c r="C138" s="60">
        <f t="shared" si="19"/>
        <v>11</v>
      </c>
      <c r="D138" s="61">
        <f t="shared" si="13"/>
        <v>22333443.506219495</v>
      </c>
      <c r="E138" s="62">
        <f t="shared" si="14"/>
        <v>154950.80789100332</v>
      </c>
      <c r="F138" s="103">
        <f t="shared" si="15"/>
        <v>102733.84012860968</v>
      </c>
      <c r="G138" s="103">
        <f t="shared" si="18"/>
        <v>52216.967762393644</v>
      </c>
      <c r="H138" s="10">
        <f t="shared" si="16"/>
        <v>22281226.538457103</v>
      </c>
    </row>
    <row r="139" spans="2:8" x14ac:dyDescent="0.35">
      <c r="B139" s="9">
        <f t="shared" si="17"/>
        <v>125</v>
      </c>
      <c r="C139" s="60">
        <f t="shared" si="19"/>
        <v>11</v>
      </c>
      <c r="D139" s="61">
        <f t="shared" si="13"/>
        <v>22281226.538457103</v>
      </c>
      <c r="E139" s="62">
        <f t="shared" si="14"/>
        <v>154950.80789100332</v>
      </c>
      <c r="F139" s="103">
        <f t="shared" si="15"/>
        <v>102493.64207690267</v>
      </c>
      <c r="G139" s="103">
        <f t="shared" si="18"/>
        <v>52457.165814100648</v>
      </c>
      <c r="H139" s="10">
        <f t="shared" si="16"/>
        <v>22228769.372643001</v>
      </c>
    </row>
    <row r="140" spans="2:8" x14ac:dyDescent="0.35">
      <c r="B140" s="9">
        <f t="shared" si="17"/>
        <v>126</v>
      </c>
      <c r="C140" s="60">
        <f t="shared" si="19"/>
        <v>11</v>
      </c>
      <c r="D140" s="61">
        <f t="shared" si="13"/>
        <v>22228769.372643001</v>
      </c>
      <c r="E140" s="62">
        <f t="shared" si="14"/>
        <v>154950.80789100332</v>
      </c>
      <c r="F140" s="103">
        <f t="shared" si="15"/>
        <v>102252.3391141578</v>
      </c>
      <c r="G140" s="103">
        <f t="shared" si="18"/>
        <v>52698.468776845519</v>
      </c>
      <c r="H140" s="10">
        <f t="shared" si="16"/>
        <v>22176070.903866157</v>
      </c>
    </row>
    <row r="141" spans="2:8" x14ac:dyDescent="0.35">
      <c r="B141" s="9">
        <f t="shared" si="17"/>
        <v>127</v>
      </c>
      <c r="C141" s="60">
        <f t="shared" si="19"/>
        <v>11</v>
      </c>
      <c r="D141" s="61">
        <f t="shared" si="13"/>
        <v>22176070.903866157</v>
      </c>
      <c r="E141" s="62">
        <f t="shared" si="14"/>
        <v>154950.80789100332</v>
      </c>
      <c r="F141" s="103">
        <f t="shared" si="15"/>
        <v>102009.92615778431</v>
      </c>
      <c r="G141" s="103">
        <f t="shared" si="18"/>
        <v>52940.881733219008</v>
      </c>
      <c r="H141" s="10">
        <f t="shared" si="16"/>
        <v>22123130.022132937</v>
      </c>
    </row>
    <row r="142" spans="2:8" x14ac:dyDescent="0.35">
      <c r="B142" s="9">
        <f t="shared" si="17"/>
        <v>128</v>
      </c>
      <c r="C142" s="60">
        <f t="shared" si="19"/>
        <v>11</v>
      </c>
      <c r="D142" s="61">
        <f t="shared" si="13"/>
        <v>22123130.022132937</v>
      </c>
      <c r="E142" s="62">
        <f t="shared" si="14"/>
        <v>154950.80789100332</v>
      </c>
      <c r="F142" s="103">
        <f t="shared" si="15"/>
        <v>101766.3981018115</v>
      </c>
      <c r="G142" s="103">
        <f t="shared" si="18"/>
        <v>53184.409789191821</v>
      </c>
      <c r="H142" s="10">
        <f t="shared" si="16"/>
        <v>22069945.612343743</v>
      </c>
    </row>
    <row r="143" spans="2:8" x14ac:dyDescent="0.35">
      <c r="B143" s="9">
        <f t="shared" si="17"/>
        <v>129</v>
      </c>
      <c r="C143" s="60">
        <f t="shared" si="19"/>
        <v>11</v>
      </c>
      <c r="D143" s="61">
        <f t="shared" si="13"/>
        <v>22069945.612343743</v>
      </c>
      <c r="E143" s="62">
        <f t="shared" si="14"/>
        <v>154950.80789100332</v>
      </c>
      <c r="F143" s="103">
        <f t="shared" si="15"/>
        <v>101521.74981678122</v>
      </c>
      <c r="G143" s="103">
        <f t="shared" si="18"/>
        <v>53429.058074222106</v>
      </c>
      <c r="H143" s="10">
        <f t="shared" si="16"/>
        <v>22016516.554269522</v>
      </c>
    </row>
    <row r="144" spans="2:8" x14ac:dyDescent="0.35">
      <c r="B144" s="9">
        <f t="shared" si="17"/>
        <v>130</v>
      </c>
      <c r="C144" s="60">
        <f t="shared" si="19"/>
        <v>11</v>
      </c>
      <c r="D144" s="61">
        <f t="shared" ref="D144:D207" si="20">H143</f>
        <v>22016516.554269522</v>
      </c>
      <c r="E144" s="62">
        <f t="shared" ref="E144:E207" si="21">$D$7</f>
        <v>154950.80789100332</v>
      </c>
      <c r="F144" s="103">
        <f t="shared" ref="F144:F207" si="22">D144*($D$4/12)</f>
        <v>101275.9761496398</v>
      </c>
      <c r="G144" s="103">
        <f t="shared" si="18"/>
        <v>53674.831741363523</v>
      </c>
      <c r="H144" s="10">
        <f t="shared" ref="H144:H207" si="23">D144-G144</f>
        <v>21962841.72252816</v>
      </c>
    </row>
    <row r="145" spans="2:8" x14ac:dyDescent="0.35">
      <c r="B145" s="9">
        <f t="shared" ref="B145:B208" si="24">B144+1</f>
        <v>131</v>
      </c>
      <c r="C145" s="60">
        <f t="shared" si="19"/>
        <v>11</v>
      </c>
      <c r="D145" s="61">
        <f t="shared" si="20"/>
        <v>21962841.72252816</v>
      </c>
      <c r="E145" s="62">
        <f t="shared" si="21"/>
        <v>154950.80789100332</v>
      </c>
      <c r="F145" s="103">
        <f t="shared" si="22"/>
        <v>101029.07192362953</v>
      </c>
      <c r="G145" s="103">
        <f t="shared" ref="G145:G208" si="25">E145-F145</f>
        <v>53921.735967373796</v>
      </c>
      <c r="H145" s="10">
        <f t="shared" si="23"/>
        <v>21908919.986560784</v>
      </c>
    </row>
    <row r="146" spans="2:8" x14ac:dyDescent="0.35">
      <c r="B146" s="9">
        <f t="shared" si="24"/>
        <v>132</v>
      </c>
      <c r="C146" s="60">
        <f t="shared" si="19"/>
        <v>11</v>
      </c>
      <c r="D146" s="61">
        <f t="shared" si="20"/>
        <v>21908919.986560784</v>
      </c>
      <c r="E146" s="62">
        <f t="shared" si="21"/>
        <v>154950.80789100332</v>
      </c>
      <c r="F146" s="103">
        <f t="shared" si="22"/>
        <v>100781.0319381796</v>
      </c>
      <c r="G146" s="103">
        <f t="shared" si="25"/>
        <v>54169.775952823722</v>
      </c>
      <c r="H146" s="10">
        <f t="shared" si="23"/>
        <v>21854750.210607961</v>
      </c>
    </row>
    <row r="147" spans="2:8" x14ac:dyDescent="0.35">
      <c r="B147" s="9">
        <f t="shared" si="24"/>
        <v>133</v>
      </c>
      <c r="C147" s="60">
        <f t="shared" si="19"/>
        <v>12</v>
      </c>
      <c r="D147" s="61">
        <f t="shared" si="20"/>
        <v>21854750.210607961</v>
      </c>
      <c r="E147" s="62">
        <f t="shared" si="21"/>
        <v>154950.80789100332</v>
      </c>
      <c r="F147" s="103">
        <f t="shared" si="22"/>
        <v>100531.85096879661</v>
      </c>
      <c r="G147" s="103">
        <f t="shared" si="25"/>
        <v>54418.956922206708</v>
      </c>
      <c r="H147" s="10">
        <f t="shared" si="23"/>
        <v>21800331.253685754</v>
      </c>
    </row>
    <row r="148" spans="2:8" x14ac:dyDescent="0.35">
      <c r="B148" s="9">
        <f t="shared" si="24"/>
        <v>134</v>
      </c>
      <c r="C148" s="60">
        <f t="shared" si="19"/>
        <v>12</v>
      </c>
      <c r="D148" s="61">
        <f t="shared" si="20"/>
        <v>21800331.253685754</v>
      </c>
      <c r="E148" s="62">
        <f t="shared" si="21"/>
        <v>154950.80789100332</v>
      </c>
      <c r="F148" s="103">
        <f t="shared" si="22"/>
        <v>100281.52376695446</v>
      </c>
      <c r="G148" s="103">
        <f t="shared" si="25"/>
        <v>54669.284124048863</v>
      </c>
      <c r="H148" s="10">
        <f t="shared" si="23"/>
        <v>21745661.969561704</v>
      </c>
    </row>
    <row r="149" spans="2:8" x14ac:dyDescent="0.35">
      <c r="B149" s="9">
        <f t="shared" si="24"/>
        <v>135</v>
      </c>
      <c r="C149" s="60">
        <f t="shared" si="19"/>
        <v>12</v>
      </c>
      <c r="D149" s="61">
        <f t="shared" si="20"/>
        <v>21745661.969561704</v>
      </c>
      <c r="E149" s="62">
        <f t="shared" si="21"/>
        <v>154950.80789100332</v>
      </c>
      <c r="F149" s="103">
        <f t="shared" si="22"/>
        <v>100030.04505998384</v>
      </c>
      <c r="G149" s="103">
        <f t="shared" si="25"/>
        <v>54920.762831019485</v>
      </c>
      <c r="H149" s="10">
        <f t="shared" si="23"/>
        <v>21690741.206730682</v>
      </c>
    </row>
    <row r="150" spans="2:8" x14ac:dyDescent="0.35">
      <c r="B150" s="9">
        <f t="shared" si="24"/>
        <v>136</v>
      </c>
      <c r="C150" s="60">
        <f t="shared" si="19"/>
        <v>12</v>
      </c>
      <c r="D150" s="61">
        <f t="shared" si="20"/>
        <v>21690741.206730682</v>
      </c>
      <c r="E150" s="62">
        <f t="shared" si="21"/>
        <v>154950.80789100332</v>
      </c>
      <c r="F150" s="103">
        <f t="shared" si="22"/>
        <v>99777.409550961136</v>
      </c>
      <c r="G150" s="103">
        <f t="shared" si="25"/>
        <v>55173.398340042186</v>
      </c>
      <c r="H150" s="10">
        <f t="shared" si="23"/>
        <v>21635567.80839064</v>
      </c>
    </row>
    <row r="151" spans="2:8" x14ac:dyDescent="0.35">
      <c r="B151" s="9">
        <f t="shared" si="24"/>
        <v>137</v>
      </c>
      <c r="C151" s="60">
        <f t="shared" si="19"/>
        <v>12</v>
      </c>
      <c r="D151" s="61">
        <f t="shared" si="20"/>
        <v>21635567.80839064</v>
      </c>
      <c r="E151" s="62">
        <f t="shared" si="21"/>
        <v>154950.80789100332</v>
      </c>
      <c r="F151" s="103">
        <f t="shared" si="22"/>
        <v>99523.611918596944</v>
      </c>
      <c r="G151" s="103">
        <f t="shared" si="25"/>
        <v>55427.195972406378</v>
      </c>
      <c r="H151" s="10">
        <f t="shared" si="23"/>
        <v>21580140.612418234</v>
      </c>
    </row>
    <row r="152" spans="2:8" x14ac:dyDescent="0.35">
      <c r="B152" s="9">
        <f t="shared" si="24"/>
        <v>138</v>
      </c>
      <c r="C152" s="60">
        <f t="shared" si="19"/>
        <v>12</v>
      </c>
      <c r="D152" s="61">
        <f t="shared" si="20"/>
        <v>21580140.612418234</v>
      </c>
      <c r="E152" s="62">
        <f t="shared" si="21"/>
        <v>154950.80789100332</v>
      </c>
      <c r="F152" s="103">
        <f t="shared" si="22"/>
        <v>99268.646817123881</v>
      </c>
      <c r="G152" s="103">
        <f t="shared" si="25"/>
        <v>55682.161073879441</v>
      </c>
      <c r="H152" s="10">
        <f t="shared" si="23"/>
        <v>21524458.451344356</v>
      </c>
    </row>
    <row r="153" spans="2:8" x14ac:dyDescent="0.35">
      <c r="B153" s="9">
        <f t="shared" si="24"/>
        <v>139</v>
      </c>
      <c r="C153" s="60">
        <f t="shared" si="19"/>
        <v>12</v>
      </c>
      <c r="D153" s="61">
        <f t="shared" si="20"/>
        <v>21524458.451344356</v>
      </c>
      <c r="E153" s="62">
        <f t="shared" si="21"/>
        <v>154950.80789100332</v>
      </c>
      <c r="F153" s="103">
        <f t="shared" si="22"/>
        <v>99012.508876184031</v>
      </c>
      <c r="G153" s="103">
        <f t="shared" si="25"/>
        <v>55938.299014819291</v>
      </c>
      <c r="H153" s="10">
        <f t="shared" si="23"/>
        <v>21468520.152329538</v>
      </c>
    </row>
    <row r="154" spans="2:8" x14ac:dyDescent="0.35">
      <c r="B154" s="9">
        <f t="shared" si="24"/>
        <v>140</v>
      </c>
      <c r="C154" s="60">
        <f t="shared" si="19"/>
        <v>12</v>
      </c>
      <c r="D154" s="61">
        <f t="shared" si="20"/>
        <v>21468520.152329538</v>
      </c>
      <c r="E154" s="62">
        <f t="shared" si="21"/>
        <v>154950.80789100332</v>
      </c>
      <c r="F154" s="103">
        <f t="shared" si="22"/>
        <v>98755.192700715867</v>
      </c>
      <c r="G154" s="103">
        <f t="shared" si="25"/>
        <v>56195.615190287455</v>
      </c>
      <c r="H154" s="10">
        <f t="shared" si="23"/>
        <v>21412324.537139252</v>
      </c>
    </row>
    <row r="155" spans="2:8" x14ac:dyDescent="0.35">
      <c r="B155" s="9">
        <f t="shared" si="24"/>
        <v>141</v>
      </c>
      <c r="C155" s="60">
        <f t="shared" si="19"/>
        <v>12</v>
      </c>
      <c r="D155" s="61">
        <f t="shared" si="20"/>
        <v>21412324.537139252</v>
      </c>
      <c r="E155" s="62">
        <f t="shared" si="21"/>
        <v>154950.80789100332</v>
      </c>
      <c r="F155" s="103">
        <f t="shared" si="22"/>
        <v>98496.692870840561</v>
      </c>
      <c r="G155" s="103">
        <f t="shared" si="25"/>
        <v>56454.115020162761</v>
      </c>
      <c r="H155" s="10">
        <f t="shared" si="23"/>
        <v>21355870.422119088</v>
      </c>
    </row>
    <row r="156" spans="2:8" x14ac:dyDescent="0.35">
      <c r="B156" s="9">
        <f t="shared" si="24"/>
        <v>142</v>
      </c>
      <c r="C156" s="60">
        <f t="shared" ref="C156:C219" si="26">C144+1</f>
        <v>12</v>
      </c>
      <c r="D156" s="61">
        <f t="shared" si="20"/>
        <v>21355870.422119088</v>
      </c>
      <c r="E156" s="62">
        <f t="shared" si="21"/>
        <v>154950.80789100332</v>
      </c>
      <c r="F156" s="103">
        <f t="shared" si="22"/>
        <v>98237.003941747811</v>
      </c>
      <c r="G156" s="103">
        <f t="shared" si="25"/>
        <v>56713.803949255511</v>
      </c>
      <c r="H156" s="10">
        <f t="shared" si="23"/>
        <v>21299156.618169833</v>
      </c>
    </row>
    <row r="157" spans="2:8" x14ac:dyDescent="0.35">
      <c r="B157" s="9">
        <f t="shared" si="24"/>
        <v>143</v>
      </c>
      <c r="C157" s="60">
        <f t="shared" si="26"/>
        <v>12</v>
      </c>
      <c r="D157" s="61">
        <f t="shared" si="20"/>
        <v>21299156.618169833</v>
      </c>
      <c r="E157" s="62">
        <f t="shared" si="21"/>
        <v>154950.80789100332</v>
      </c>
      <c r="F157" s="103">
        <f t="shared" si="22"/>
        <v>97976.120443581225</v>
      </c>
      <c r="G157" s="103">
        <f t="shared" si="25"/>
        <v>56974.687447422097</v>
      </c>
      <c r="H157" s="10">
        <f t="shared" si="23"/>
        <v>21242181.930722412</v>
      </c>
    </row>
    <row r="158" spans="2:8" x14ac:dyDescent="0.35">
      <c r="B158" s="9">
        <f t="shared" si="24"/>
        <v>144</v>
      </c>
      <c r="C158" s="60">
        <f t="shared" si="26"/>
        <v>12</v>
      </c>
      <c r="D158" s="61">
        <f t="shared" si="20"/>
        <v>21242181.930722412</v>
      </c>
      <c r="E158" s="62">
        <f t="shared" si="21"/>
        <v>154950.80789100332</v>
      </c>
      <c r="F158" s="103">
        <f t="shared" si="22"/>
        <v>97714.036881323089</v>
      </c>
      <c r="G158" s="103">
        <f t="shared" si="25"/>
        <v>57236.771009680233</v>
      </c>
      <c r="H158" s="10">
        <f t="shared" si="23"/>
        <v>21184945.159712732</v>
      </c>
    </row>
    <row r="159" spans="2:8" x14ac:dyDescent="0.35">
      <c r="B159" s="9">
        <f t="shared" si="24"/>
        <v>145</v>
      </c>
      <c r="C159" s="60">
        <f t="shared" si="26"/>
        <v>13</v>
      </c>
      <c r="D159" s="61">
        <f t="shared" si="20"/>
        <v>21184945.159712732</v>
      </c>
      <c r="E159" s="62">
        <f t="shared" si="21"/>
        <v>154950.80789100332</v>
      </c>
      <c r="F159" s="103">
        <f t="shared" si="22"/>
        <v>97450.74773467856</v>
      </c>
      <c r="G159" s="103">
        <f t="shared" si="25"/>
        <v>57500.060156324762</v>
      </c>
      <c r="H159" s="10">
        <f t="shared" si="23"/>
        <v>21127445.099556409</v>
      </c>
    </row>
    <row r="160" spans="2:8" x14ac:dyDescent="0.35">
      <c r="B160" s="9">
        <f t="shared" si="24"/>
        <v>146</v>
      </c>
      <c r="C160" s="60">
        <f t="shared" si="26"/>
        <v>13</v>
      </c>
      <c r="D160" s="61">
        <f t="shared" si="20"/>
        <v>21127445.099556409</v>
      </c>
      <c r="E160" s="62">
        <f t="shared" si="21"/>
        <v>154950.80789100332</v>
      </c>
      <c r="F160" s="103">
        <f t="shared" si="22"/>
        <v>97186.247457959485</v>
      </c>
      <c r="G160" s="103">
        <f t="shared" si="25"/>
        <v>57764.560433043836</v>
      </c>
      <c r="H160" s="10">
        <f t="shared" si="23"/>
        <v>21069680.539123364</v>
      </c>
    </row>
    <row r="161" spans="2:8" x14ac:dyDescent="0.35">
      <c r="B161" s="9">
        <f t="shared" si="24"/>
        <v>147</v>
      </c>
      <c r="C161" s="60">
        <f t="shared" si="26"/>
        <v>13</v>
      </c>
      <c r="D161" s="61">
        <f t="shared" si="20"/>
        <v>21069680.539123364</v>
      </c>
      <c r="E161" s="62">
        <f t="shared" si="21"/>
        <v>154950.80789100332</v>
      </c>
      <c r="F161" s="103">
        <f t="shared" si="22"/>
        <v>96920.530479967478</v>
      </c>
      <c r="G161" s="103">
        <f t="shared" si="25"/>
        <v>58030.277411035844</v>
      </c>
      <c r="H161" s="10">
        <f t="shared" si="23"/>
        <v>21011650.261712328</v>
      </c>
    </row>
    <row r="162" spans="2:8" x14ac:dyDescent="0.35">
      <c r="B162" s="9">
        <f t="shared" si="24"/>
        <v>148</v>
      </c>
      <c r="C162" s="60">
        <f t="shared" si="26"/>
        <v>13</v>
      </c>
      <c r="D162" s="61">
        <f t="shared" si="20"/>
        <v>21011650.261712328</v>
      </c>
      <c r="E162" s="62">
        <f t="shared" si="21"/>
        <v>154950.80789100332</v>
      </c>
      <c r="F162" s="103">
        <f t="shared" si="22"/>
        <v>96653.591203876698</v>
      </c>
      <c r="G162" s="103">
        <f t="shared" si="25"/>
        <v>58297.216687126624</v>
      </c>
      <c r="H162" s="10">
        <f t="shared" si="23"/>
        <v>20953353.0450252</v>
      </c>
    </row>
    <row r="163" spans="2:8" x14ac:dyDescent="0.35">
      <c r="B163" s="9">
        <f t="shared" si="24"/>
        <v>149</v>
      </c>
      <c r="C163" s="60">
        <f t="shared" si="26"/>
        <v>13</v>
      </c>
      <c r="D163" s="61">
        <f t="shared" si="20"/>
        <v>20953353.0450252</v>
      </c>
      <c r="E163" s="62">
        <f t="shared" si="21"/>
        <v>154950.80789100332</v>
      </c>
      <c r="F163" s="103">
        <f t="shared" si="22"/>
        <v>96385.424007115915</v>
      </c>
      <c r="G163" s="103">
        <f t="shared" si="25"/>
        <v>58565.383883887407</v>
      </c>
      <c r="H163" s="10">
        <f t="shared" si="23"/>
        <v>20894787.661141314</v>
      </c>
    </row>
    <row r="164" spans="2:8" x14ac:dyDescent="0.35">
      <c r="B164" s="9">
        <f t="shared" si="24"/>
        <v>150</v>
      </c>
      <c r="C164" s="60">
        <f t="shared" si="26"/>
        <v>13</v>
      </c>
      <c r="D164" s="61">
        <f t="shared" si="20"/>
        <v>20894787.661141314</v>
      </c>
      <c r="E164" s="62">
        <f t="shared" si="21"/>
        <v>154950.80789100332</v>
      </c>
      <c r="F164" s="103">
        <f t="shared" si="22"/>
        <v>96116.023241250048</v>
      </c>
      <c r="G164" s="103">
        <f t="shared" si="25"/>
        <v>58834.784649753274</v>
      </c>
      <c r="H164" s="10">
        <f t="shared" si="23"/>
        <v>20835952.876491562</v>
      </c>
    </row>
    <row r="165" spans="2:8" x14ac:dyDescent="0.35">
      <c r="B165" s="9">
        <f t="shared" si="24"/>
        <v>151</v>
      </c>
      <c r="C165" s="60">
        <f t="shared" si="26"/>
        <v>13</v>
      </c>
      <c r="D165" s="61">
        <f t="shared" si="20"/>
        <v>20835952.876491562</v>
      </c>
      <c r="E165" s="62">
        <f t="shared" si="21"/>
        <v>154950.80789100332</v>
      </c>
      <c r="F165" s="103">
        <f t="shared" si="22"/>
        <v>95845.383231861182</v>
      </c>
      <c r="G165" s="103">
        <f t="shared" si="25"/>
        <v>59105.42465914214</v>
      </c>
      <c r="H165" s="10">
        <f t="shared" si="23"/>
        <v>20776847.451832421</v>
      </c>
    </row>
    <row r="166" spans="2:8" x14ac:dyDescent="0.35">
      <c r="B166" s="9">
        <f t="shared" si="24"/>
        <v>152</v>
      </c>
      <c r="C166" s="60">
        <f t="shared" si="26"/>
        <v>13</v>
      </c>
      <c r="D166" s="61">
        <f t="shared" si="20"/>
        <v>20776847.451832421</v>
      </c>
      <c r="E166" s="62">
        <f t="shared" si="21"/>
        <v>154950.80789100332</v>
      </c>
      <c r="F166" s="103">
        <f t="shared" si="22"/>
        <v>95573.498278429135</v>
      </c>
      <c r="G166" s="103">
        <f t="shared" si="25"/>
        <v>59377.309612574187</v>
      </c>
      <c r="H166" s="10">
        <f t="shared" si="23"/>
        <v>20717470.142219845</v>
      </c>
    </row>
    <row r="167" spans="2:8" x14ac:dyDescent="0.35">
      <c r="B167" s="9">
        <f t="shared" si="24"/>
        <v>153</v>
      </c>
      <c r="C167" s="60">
        <f t="shared" si="26"/>
        <v>13</v>
      </c>
      <c r="D167" s="61">
        <f t="shared" si="20"/>
        <v>20717470.142219845</v>
      </c>
      <c r="E167" s="62">
        <f t="shared" si="21"/>
        <v>154950.80789100332</v>
      </c>
      <c r="F167" s="103">
        <f t="shared" si="22"/>
        <v>95300.362654211291</v>
      </c>
      <c r="G167" s="103">
        <f t="shared" si="25"/>
        <v>59650.445236792031</v>
      </c>
      <c r="H167" s="10">
        <f t="shared" si="23"/>
        <v>20657819.696983054</v>
      </c>
    </row>
    <row r="168" spans="2:8" x14ac:dyDescent="0.35">
      <c r="B168" s="9">
        <f t="shared" si="24"/>
        <v>154</v>
      </c>
      <c r="C168" s="60">
        <f t="shared" si="26"/>
        <v>13</v>
      </c>
      <c r="D168" s="61">
        <f t="shared" si="20"/>
        <v>20657819.696983054</v>
      </c>
      <c r="E168" s="62">
        <f t="shared" si="21"/>
        <v>154950.80789100332</v>
      </c>
      <c r="F168" s="103">
        <f t="shared" si="22"/>
        <v>95025.97060612205</v>
      </c>
      <c r="G168" s="103">
        <f t="shared" si="25"/>
        <v>59924.837284881272</v>
      </c>
      <c r="H168" s="10">
        <f t="shared" si="23"/>
        <v>20597894.859698173</v>
      </c>
    </row>
    <row r="169" spans="2:8" x14ac:dyDescent="0.35">
      <c r="B169" s="9">
        <f t="shared" si="24"/>
        <v>155</v>
      </c>
      <c r="C169" s="60">
        <f t="shared" si="26"/>
        <v>13</v>
      </c>
      <c r="D169" s="61">
        <f t="shared" si="20"/>
        <v>20597894.859698173</v>
      </c>
      <c r="E169" s="62">
        <f t="shared" si="21"/>
        <v>154950.80789100332</v>
      </c>
      <c r="F169" s="103">
        <f t="shared" si="22"/>
        <v>94750.316354611597</v>
      </c>
      <c r="G169" s="103">
        <f t="shared" si="25"/>
        <v>60200.491536391724</v>
      </c>
      <c r="H169" s="10">
        <f t="shared" si="23"/>
        <v>20537694.368161783</v>
      </c>
    </row>
    <row r="170" spans="2:8" x14ac:dyDescent="0.35">
      <c r="B170" s="9">
        <f t="shared" si="24"/>
        <v>156</v>
      </c>
      <c r="C170" s="60">
        <f t="shared" si="26"/>
        <v>13</v>
      </c>
      <c r="D170" s="61">
        <f t="shared" si="20"/>
        <v>20537694.368161783</v>
      </c>
      <c r="E170" s="62">
        <f t="shared" si="21"/>
        <v>154950.80789100332</v>
      </c>
      <c r="F170" s="103">
        <f t="shared" si="22"/>
        <v>94473.394093544193</v>
      </c>
      <c r="G170" s="103">
        <f t="shared" si="25"/>
        <v>60477.413797459129</v>
      </c>
      <c r="H170" s="10">
        <f t="shared" si="23"/>
        <v>20477216.954364322</v>
      </c>
    </row>
    <row r="171" spans="2:8" x14ac:dyDescent="0.35">
      <c r="B171" s="9">
        <f t="shared" si="24"/>
        <v>157</v>
      </c>
      <c r="C171" s="60">
        <f t="shared" si="26"/>
        <v>14</v>
      </c>
      <c r="D171" s="61">
        <f t="shared" si="20"/>
        <v>20477216.954364322</v>
      </c>
      <c r="E171" s="62">
        <f t="shared" si="21"/>
        <v>154950.80789100332</v>
      </c>
      <c r="F171" s="103">
        <f t="shared" si="22"/>
        <v>94195.197990075874</v>
      </c>
      <c r="G171" s="103">
        <f t="shared" si="25"/>
        <v>60755.609900927448</v>
      </c>
      <c r="H171" s="10">
        <f t="shared" si="23"/>
        <v>20416461.344463393</v>
      </c>
    </row>
    <row r="172" spans="2:8" x14ac:dyDescent="0.35">
      <c r="B172" s="9">
        <f t="shared" si="24"/>
        <v>158</v>
      </c>
      <c r="C172" s="60">
        <f t="shared" si="26"/>
        <v>14</v>
      </c>
      <c r="D172" s="61">
        <f t="shared" si="20"/>
        <v>20416461.344463393</v>
      </c>
      <c r="E172" s="62">
        <f t="shared" si="21"/>
        <v>154950.80789100332</v>
      </c>
      <c r="F172" s="103">
        <f t="shared" si="22"/>
        <v>93915.722184531609</v>
      </c>
      <c r="G172" s="103">
        <f t="shared" si="25"/>
        <v>61035.085706471713</v>
      </c>
      <c r="H172" s="10">
        <f t="shared" si="23"/>
        <v>20355426.258756921</v>
      </c>
    </row>
    <row r="173" spans="2:8" x14ac:dyDescent="0.35">
      <c r="B173" s="9">
        <f t="shared" si="24"/>
        <v>159</v>
      </c>
      <c r="C173" s="60">
        <f t="shared" si="26"/>
        <v>14</v>
      </c>
      <c r="D173" s="61">
        <f t="shared" si="20"/>
        <v>20355426.258756921</v>
      </c>
      <c r="E173" s="62">
        <f t="shared" si="21"/>
        <v>154950.80789100332</v>
      </c>
      <c r="F173" s="103">
        <f t="shared" si="22"/>
        <v>93634.960790281839</v>
      </c>
      <c r="G173" s="103">
        <f t="shared" si="25"/>
        <v>61315.847100721483</v>
      </c>
      <c r="H173" s="10">
        <f t="shared" si="23"/>
        <v>20294110.411656201</v>
      </c>
    </row>
    <row r="174" spans="2:8" x14ac:dyDescent="0.35">
      <c r="B174" s="9">
        <f t="shared" si="24"/>
        <v>160</v>
      </c>
      <c r="C174" s="60">
        <f t="shared" si="26"/>
        <v>14</v>
      </c>
      <c r="D174" s="61">
        <f t="shared" si="20"/>
        <v>20294110.411656201</v>
      </c>
      <c r="E174" s="62">
        <f t="shared" si="21"/>
        <v>154950.80789100332</v>
      </c>
      <c r="F174" s="103">
        <f t="shared" si="22"/>
        <v>93352.907893618525</v>
      </c>
      <c r="G174" s="103">
        <f t="shared" si="25"/>
        <v>61597.899997384797</v>
      </c>
      <c r="H174" s="10">
        <f t="shared" si="23"/>
        <v>20232512.511658818</v>
      </c>
    </row>
    <row r="175" spans="2:8" x14ac:dyDescent="0.35">
      <c r="B175" s="9">
        <f t="shared" si="24"/>
        <v>161</v>
      </c>
      <c r="C175" s="60">
        <f t="shared" si="26"/>
        <v>14</v>
      </c>
      <c r="D175" s="61">
        <f t="shared" si="20"/>
        <v>20232512.511658818</v>
      </c>
      <c r="E175" s="62">
        <f t="shared" si="21"/>
        <v>154950.80789100332</v>
      </c>
      <c r="F175" s="103">
        <f t="shared" si="22"/>
        <v>93069.557553630555</v>
      </c>
      <c r="G175" s="103">
        <f t="shared" si="25"/>
        <v>61881.250337372767</v>
      </c>
      <c r="H175" s="10">
        <f t="shared" si="23"/>
        <v>20170631.261321444</v>
      </c>
    </row>
    <row r="176" spans="2:8" x14ac:dyDescent="0.35">
      <c r="B176" s="9">
        <f t="shared" si="24"/>
        <v>162</v>
      </c>
      <c r="C176" s="60">
        <f t="shared" si="26"/>
        <v>14</v>
      </c>
      <c r="D176" s="61">
        <f t="shared" si="20"/>
        <v>20170631.261321444</v>
      </c>
      <c r="E176" s="62">
        <f t="shared" si="21"/>
        <v>154950.80789100332</v>
      </c>
      <c r="F176" s="103">
        <f t="shared" si="22"/>
        <v>92784.903802078639</v>
      </c>
      <c r="G176" s="103">
        <f t="shared" si="25"/>
        <v>62165.904088924683</v>
      </c>
      <c r="H176" s="10">
        <f t="shared" si="23"/>
        <v>20108465.357232518</v>
      </c>
    </row>
    <row r="177" spans="2:8" x14ac:dyDescent="0.35">
      <c r="B177" s="9">
        <f t="shared" si="24"/>
        <v>163</v>
      </c>
      <c r="C177" s="60">
        <f t="shared" si="26"/>
        <v>14</v>
      </c>
      <c r="D177" s="61">
        <f t="shared" si="20"/>
        <v>20108465.357232518</v>
      </c>
      <c r="E177" s="62">
        <f t="shared" si="21"/>
        <v>154950.80789100332</v>
      </c>
      <c r="F177" s="103">
        <f t="shared" si="22"/>
        <v>92498.940643269583</v>
      </c>
      <c r="G177" s="103">
        <f t="shared" si="25"/>
        <v>62451.867247733739</v>
      </c>
      <c r="H177" s="10">
        <f t="shared" si="23"/>
        <v>20046013.489984784</v>
      </c>
    </row>
    <row r="178" spans="2:8" x14ac:dyDescent="0.35">
      <c r="B178" s="9">
        <f t="shared" si="24"/>
        <v>164</v>
      </c>
      <c r="C178" s="60">
        <f t="shared" si="26"/>
        <v>14</v>
      </c>
      <c r="D178" s="61">
        <f t="shared" si="20"/>
        <v>20046013.489984784</v>
      </c>
      <c r="E178" s="62">
        <f t="shared" si="21"/>
        <v>154950.80789100332</v>
      </c>
      <c r="F178" s="103">
        <f t="shared" si="22"/>
        <v>92211.662053930006</v>
      </c>
      <c r="G178" s="103">
        <f t="shared" si="25"/>
        <v>62739.145837073316</v>
      </c>
      <c r="H178" s="10">
        <f t="shared" si="23"/>
        <v>19983274.344147712</v>
      </c>
    </row>
    <row r="179" spans="2:8" x14ac:dyDescent="0.35">
      <c r="B179" s="9">
        <f t="shared" si="24"/>
        <v>165</v>
      </c>
      <c r="C179" s="60">
        <f t="shared" si="26"/>
        <v>14</v>
      </c>
      <c r="D179" s="61">
        <f t="shared" si="20"/>
        <v>19983274.344147712</v>
      </c>
      <c r="E179" s="62">
        <f t="shared" si="21"/>
        <v>154950.80789100332</v>
      </c>
      <c r="F179" s="103">
        <f t="shared" si="22"/>
        <v>91923.061983079475</v>
      </c>
      <c r="G179" s="103">
        <f t="shared" si="25"/>
        <v>63027.745907923847</v>
      </c>
      <c r="H179" s="10">
        <f t="shared" si="23"/>
        <v>19920246.598239787</v>
      </c>
    </row>
    <row r="180" spans="2:8" x14ac:dyDescent="0.35">
      <c r="B180" s="9">
        <f t="shared" si="24"/>
        <v>166</v>
      </c>
      <c r="C180" s="60">
        <f t="shared" si="26"/>
        <v>14</v>
      </c>
      <c r="D180" s="61">
        <f t="shared" si="20"/>
        <v>19920246.598239787</v>
      </c>
      <c r="E180" s="62">
        <f t="shared" si="21"/>
        <v>154950.80789100332</v>
      </c>
      <c r="F180" s="103">
        <f t="shared" si="22"/>
        <v>91633.13435190302</v>
      </c>
      <c r="G180" s="103">
        <f t="shared" si="25"/>
        <v>63317.673539100302</v>
      </c>
      <c r="H180" s="10">
        <f t="shared" si="23"/>
        <v>19856928.924700685</v>
      </c>
    </row>
    <row r="181" spans="2:8" x14ac:dyDescent="0.35">
      <c r="B181" s="9">
        <f t="shared" si="24"/>
        <v>167</v>
      </c>
      <c r="C181" s="60">
        <f t="shared" si="26"/>
        <v>14</v>
      </c>
      <c r="D181" s="61">
        <f t="shared" si="20"/>
        <v>19856928.924700685</v>
      </c>
      <c r="E181" s="62">
        <f t="shared" si="21"/>
        <v>154950.80789100332</v>
      </c>
      <c r="F181" s="103">
        <f t="shared" si="22"/>
        <v>91341.873053623145</v>
      </c>
      <c r="G181" s="103">
        <f t="shared" si="25"/>
        <v>63608.934837380177</v>
      </c>
      <c r="H181" s="10">
        <f t="shared" si="23"/>
        <v>19793319.989863306</v>
      </c>
    </row>
    <row r="182" spans="2:8" x14ac:dyDescent="0.35">
      <c r="B182" s="9">
        <f t="shared" si="24"/>
        <v>168</v>
      </c>
      <c r="C182" s="60">
        <f t="shared" si="26"/>
        <v>14</v>
      </c>
      <c r="D182" s="61">
        <f t="shared" si="20"/>
        <v>19793319.989863306</v>
      </c>
      <c r="E182" s="62">
        <f t="shared" si="21"/>
        <v>154950.80789100332</v>
      </c>
      <c r="F182" s="103">
        <f t="shared" si="22"/>
        <v>91049.271953371208</v>
      </c>
      <c r="G182" s="103">
        <f t="shared" si="25"/>
        <v>63901.535937632114</v>
      </c>
      <c r="H182" s="10">
        <f t="shared" si="23"/>
        <v>19729418.453925673</v>
      </c>
    </row>
    <row r="183" spans="2:8" x14ac:dyDescent="0.35">
      <c r="B183" s="9">
        <f t="shared" si="24"/>
        <v>169</v>
      </c>
      <c r="C183" s="60">
        <f t="shared" si="26"/>
        <v>15</v>
      </c>
      <c r="D183" s="61">
        <f t="shared" si="20"/>
        <v>19729418.453925673</v>
      </c>
      <c r="E183" s="62">
        <f t="shared" si="21"/>
        <v>154950.80789100332</v>
      </c>
      <c r="F183" s="103">
        <f t="shared" si="22"/>
        <v>90755.324888058094</v>
      </c>
      <c r="G183" s="103">
        <f t="shared" si="25"/>
        <v>64195.483002945228</v>
      </c>
      <c r="H183" s="10">
        <f t="shared" si="23"/>
        <v>19665222.970922727</v>
      </c>
    </row>
    <row r="184" spans="2:8" x14ac:dyDescent="0.35">
      <c r="B184" s="9">
        <f t="shared" si="24"/>
        <v>170</v>
      </c>
      <c r="C184" s="60">
        <f t="shared" si="26"/>
        <v>15</v>
      </c>
      <c r="D184" s="61">
        <f t="shared" si="20"/>
        <v>19665222.970922727</v>
      </c>
      <c r="E184" s="62">
        <f t="shared" si="21"/>
        <v>154950.80789100332</v>
      </c>
      <c r="F184" s="103">
        <f t="shared" si="22"/>
        <v>90460.025666244546</v>
      </c>
      <c r="G184" s="103">
        <f t="shared" si="25"/>
        <v>64490.782224758776</v>
      </c>
      <c r="H184" s="10">
        <f t="shared" si="23"/>
        <v>19600732.188697968</v>
      </c>
    </row>
    <row r="185" spans="2:8" x14ac:dyDescent="0.35">
      <c r="B185" s="9">
        <f t="shared" si="24"/>
        <v>171</v>
      </c>
      <c r="C185" s="60">
        <f t="shared" si="26"/>
        <v>15</v>
      </c>
      <c r="D185" s="61">
        <f t="shared" si="20"/>
        <v>19600732.188697968</v>
      </c>
      <c r="E185" s="62">
        <f t="shared" si="21"/>
        <v>154950.80789100332</v>
      </c>
      <c r="F185" s="103">
        <f t="shared" si="22"/>
        <v>90163.368068010648</v>
      </c>
      <c r="G185" s="103">
        <f t="shared" si="25"/>
        <v>64787.439822992674</v>
      </c>
      <c r="H185" s="10">
        <f t="shared" si="23"/>
        <v>19535944.748874974</v>
      </c>
    </row>
    <row r="186" spans="2:8" x14ac:dyDescent="0.35">
      <c r="B186" s="9">
        <f t="shared" si="24"/>
        <v>172</v>
      </c>
      <c r="C186" s="60">
        <f t="shared" si="26"/>
        <v>15</v>
      </c>
      <c r="D186" s="61">
        <f t="shared" si="20"/>
        <v>19535944.748874974</v>
      </c>
      <c r="E186" s="62">
        <f t="shared" si="21"/>
        <v>154950.80789100332</v>
      </c>
      <c r="F186" s="103">
        <f t="shared" si="22"/>
        <v>89865.345844824871</v>
      </c>
      <c r="G186" s="103">
        <f t="shared" si="25"/>
        <v>65085.462046178451</v>
      </c>
      <c r="H186" s="10">
        <f t="shared" si="23"/>
        <v>19470859.286828794</v>
      </c>
    </row>
    <row r="187" spans="2:8" x14ac:dyDescent="0.35">
      <c r="B187" s="9">
        <f t="shared" si="24"/>
        <v>173</v>
      </c>
      <c r="C187" s="60">
        <f t="shared" si="26"/>
        <v>15</v>
      </c>
      <c r="D187" s="61">
        <f t="shared" si="20"/>
        <v>19470859.286828794</v>
      </c>
      <c r="E187" s="62">
        <f t="shared" si="21"/>
        <v>154950.80789100332</v>
      </c>
      <c r="F187" s="103">
        <f t="shared" si="22"/>
        <v>89565.952719412453</v>
      </c>
      <c r="G187" s="103">
        <f t="shared" si="25"/>
        <v>65384.855171590869</v>
      </c>
      <c r="H187" s="10">
        <f t="shared" si="23"/>
        <v>19405474.431657203</v>
      </c>
    </row>
    <row r="188" spans="2:8" x14ac:dyDescent="0.35">
      <c r="B188" s="9">
        <f t="shared" si="24"/>
        <v>174</v>
      </c>
      <c r="C188" s="60">
        <f t="shared" si="26"/>
        <v>15</v>
      </c>
      <c r="D188" s="61">
        <f t="shared" si="20"/>
        <v>19405474.431657203</v>
      </c>
      <c r="E188" s="62">
        <f t="shared" si="21"/>
        <v>154950.80789100332</v>
      </c>
      <c r="F188" s="103">
        <f t="shared" si="22"/>
        <v>89265.182385623135</v>
      </c>
      <c r="G188" s="103">
        <f t="shared" si="25"/>
        <v>65685.625505380187</v>
      </c>
      <c r="H188" s="10">
        <f t="shared" si="23"/>
        <v>19339788.806151822</v>
      </c>
    </row>
    <row r="189" spans="2:8" x14ac:dyDescent="0.35">
      <c r="B189" s="9">
        <f t="shared" si="24"/>
        <v>175</v>
      </c>
      <c r="C189" s="60">
        <f t="shared" si="26"/>
        <v>15</v>
      </c>
      <c r="D189" s="61">
        <f t="shared" si="20"/>
        <v>19339788.806151822</v>
      </c>
      <c r="E189" s="62">
        <f t="shared" si="21"/>
        <v>154950.80789100332</v>
      </c>
      <c r="F189" s="103">
        <f t="shared" si="22"/>
        <v>88963.028508298376</v>
      </c>
      <c r="G189" s="103">
        <f t="shared" si="25"/>
        <v>65987.779382704946</v>
      </c>
      <c r="H189" s="10">
        <f t="shared" si="23"/>
        <v>19273801.026769117</v>
      </c>
    </row>
    <row r="190" spans="2:8" x14ac:dyDescent="0.35">
      <c r="B190" s="9">
        <f t="shared" si="24"/>
        <v>176</v>
      </c>
      <c r="C190" s="60">
        <f t="shared" si="26"/>
        <v>15</v>
      </c>
      <c r="D190" s="61">
        <f t="shared" si="20"/>
        <v>19273801.026769117</v>
      </c>
      <c r="E190" s="62">
        <f t="shared" si="21"/>
        <v>154950.80789100332</v>
      </c>
      <c r="F190" s="103">
        <f t="shared" si="22"/>
        <v>88659.484723137939</v>
      </c>
      <c r="G190" s="103">
        <f t="shared" si="25"/>
        <v>66291.323167865383</v>
      </c>
      <c r="H190" s="10">
        <f t="shared" si="23"/>
        <v>19207509.703601252</v>
      </c>
    </row>
    <row r="191" spans="2:8" x14ac:dyDescent="0.35">
      <c r="B191" s="9">
        <f t="shared" si="24"/>
        <v>177</v>
      </c>
      <c r="C191" s="60">
        <f t="shared" si="26"/>
        <v>15</v>
      </c>
      <c r="D191" s="61">
        <f t="shared" si="20"/>
        <v>19207509.703601252</v>
      </c>
      <c r="E191" s="62">
        <f t="shared" si="21"/>
        <v>154950.80789100332</v>
      </c>
      <c r="F191" s="103">
        <f t="shared" si="22"/>
        <v>88354.544636565755</v>
      </c>
      <c r="G191" s="103">
        <f t="shared" si="25"/>
        <v>66596.263254437567</v>
      </c>
      <c r="H191" s="10">
        <f t="shared" si="23"/>
        <v>19140913.440346815</v>
      </c>
    </row>
    <row r="192" spans="2:8" x14ac:dyDescent="0.35">
      <c r="B192" s="9">
        <f t="shared" si="24"/>
        <v>178</v>
      </c>
      <c r="C192" s="60">
        <f t="shared" si="26"/>
        <v>15</v>
      </c>
      <c r="D192" s="61">
        <f t="shared" si="20"/>
        <v>19140913.440346815</v>
      </c>
      <c r="E192" s="62">
        <f t="shared" si="21"/>
        <v>154950.80789100332</v>
      </c>
      <c r="F192" s="103">
        <f t="shared" si="22"/>
        <v>88048.201825595344</v>
      </c>
      <c r="G192" s="103">
        <f t="shared" si="25"/>
        <v>66902.606065407977</v>
      </c>
      <c r="H192" s="10">
        <f t="shared" si="23"/>
        <v>19074010.834281407</v>
      </c>
    </row>
    <row r="193" spans="2:8" x14ac:dyDescent="0.35">
      <c r="B193" s="9">
        <f t="shared" si="24"/>
        <v>179</v>
      </c>
      <c r="C193" s="60">
        <f t="shared" si="26"/>
        <v>15</v>
      </c>
      <c r="D193" s="61">
        <f t="shared" si="20"/>
        <v>19074010.834281407</v>
      </c>
      <c r="E193" s="62">
        <f t="shared" si="21"/>
        <v>154950.80789100332</v>
      </c>
      <c r="F193" s="103">
        <f t="shared" si="22"/>
        <v>87740.449837694468</v>
      </c>
      <c r="G193" s="103">
        <f t="shared" si="25"/>
        <v>67210.358053308853</v>
      </c>
      <c r="H193" s="10">
        <f t="shared" si="23"/>
        <v>19006800.476228099</v>
      </c>
    </row>
    <row r="194" spans="2:8" x14ac:dyDescent="0.35">
      <c r="B194" s="9">
        <f t="shared" si="24"/>
        <v>180</v>
      </c>
      <c r="C194" s="60">
        <f t="shared" si="26"/>
        <v>15</v>
      </c>
      <c r="D194" s="61">
        <f t="shared" si="20"/>
        <v>19006800.476228099</v>
      </c>
      <c r="E194" s="62">
        <f t="shared" si="21"/>
        <v>154950.80789100332</v>
      </c>
      <c r="F194" s="103">
        <f t="shared" si="22"/>
        <v>87431.282190649261</v>
      </c>
      <c r="G194" s="103">
        <f t="shared" si="25"/>
        <v>67519.525700354061</v>
      </c>
      <c r="H194" s="10">
        <f t="shared" si="23"/>
        <v>18939280.950527746</v>
      </c>
    </row>
    <row r="195" spans="2:8" x14ac:dyDescent="0.35">
      <c r="B195" s="9">
        <f t="shared" si="24"/>
        <v>181</v>
      </c>
      <c r="C195" s="60">
        <f t="shared" si="26"/>
        <v>16</v>
      </c>
      <c r="D195" s="61">
        <f t="shared" si="20"/>
        <v>18939280.950527746</v>
      </c>
      <c r="E195" s="62">
        <f t="shared" si="21"/>
        <v>154950.80789100332</v>
      </c>
      <c r="F195" s="103">
        <f t="shared" si="22"/>
        <v>87120.692372427628</v>
      </c>
      <c r="G195" s="103">
        <f t="shared" si="25"/>
        <v>67830.115518575694</v>
      </c>
      <c r="H195" s="10">
        <f t="shared" si="23"/>
        <v>18871450.835009169</v>
      </c>
    </row>
    <row r="196" spans="2:8" x14ac:dyDescent="0.35">
      <c r="B196" s="9">
        <f t="shared" si="24"/>
        <v>182</v>
      </c>
      <c r="C196" s="60">
        <f t="shared" si="26"/>
        <v>16</v>
      </c>
      <c r="D196" s="61">
        <f t="shared" si="20"/>
        <v>18871450.835009169</v>
      </c>
      <c r="E196" s="62">
        <f t="shared" si="21"/>
        <v>154950.80789100332</v>
      </c>
      <c r="F196" s="103">
        <f t="shared" si="22"/>
        <v>86808.673841042182</v>
      </c>
      <c r="G196" s="103">
        <f t="shared" si="25"/>
        <v>68142.13404996114</v>
      </c>
      <c r="H196" s="10">
        <f t="shared" si="23"/>
        <v>18803308.700959209</v>
      </c>
    </row>
    <row r="197" spans="2:8" x14ac:dyDescent="0.35">
      <c r="B197" s="9">
        <f t="shared" si="24"/>
        <v>183</v>
      </c>
      <c r="C197" s="60">
        <f t="shared" si="26"/>
        <v>16</v>
      </c>
      <c r="D197" s="61">
        <f t="shared" si="20"/>
        <v>18803308.700959209</v>
      </c>
      <c r="E197" s="62">
        <f t="shared" si="21"/>
        <v>154950.80789100332</v>
      </c>
      <c r="F197" s="103">
        <f t="shared" si="22"/>
        <v>86495.220024412367</v>
      </c>
      <c r="G197" s="103">
        <f t="shared" si="25"/>
        <v>68455.587866590955</v>
      </c>
      <c r="H197" s="10">
        <f t="shared" si="23"/>
        <v>18734853.11309262</v>
      </c>
    </row>
    <row r="198" spans="2:8" x14ac:dyDescent="0.35">
      <c r="B198" s="9">
        <f t="shared" si="24"/>
        <v>184</v>
      </c>
      <c r="C198" s="60">
        <f t="shared" si="26"/>
        <v>16</v>
      </c>
      <c r="D198" s="61">
        <f t="shared" si="20"/>
        <v>18734853.11309262</v>
      </c>
      <c r="E198" s="62">
        <f t="shared" si="21"/>
        <v>154950.80789100332</v>
      </c>
      <c r="F198" s="103">
        <f t="shared" si="22"/>
        <v>86180.324320226049</v>
      </c>
      <c r="G198" s="103">
        <f t="shared" si="25"/>
        <v>68770.483570777273</v>
      </c>
      <c r="H198" s="10">
        <f t="shared" si="23"/>
        <v>18666082.629521843</v>
      </c>
    </row>
    <row r="199" spans="2:8" x14ac:dyDescent="0.35">
      <c r="B199" s="9">
        <f t="shared" si="24"/>
        <v>185</v>
      </c>
      <c r="C199" s="60">
        <f t="shared" si="26"/>
        <v>16</v>
      </c>
      <c r="D199" s="61">
        <f t="shared" si="20"/>
        <v>18666082.629521843</v>
      </c>
      <c r="E199" s="62">
        <f t="shared" si="21"/>
        <v>154950.80789100332</v>
      </c>
      <c r="F199" s="103">
        <f t="shared" si="22"/>
        <v>85863.980095800478</v>
      </c>
      <c r="G199" s="103">
        <f t="shared" si="25"/>
        <v>69086.827795202844</v>
      </c>
      <c r="H199" s="10">
        <f t="shared" si="23"/>
        <v>18596995.801726639</v>
      </c>
    </row>
    <row r="200" spans="2:8" x14ac:dyDescent="0.35">
      <c r="B200" s="9">
        <f t="shared" si="24"/>
        <v>186</v>
      </c>
      <c r="C200" s="60">
        <f t="shared" si="26"/>
        <v>16</v>
      </c>
      <c r="D200" s="61">
        <f t="shared" si="20"/>
        <v>18596995.801726639</v>
      </c>
      <c r="E200" s="62">
        <f t="shared" si="21"/>
        <v>154950.80789100332</v>
      </c>
      <c r="F200" s="103">
        <f t="shared" si="22"/>
        <v>85546.180687942542</v>
      </c>
      <c r="G200" s="103">
        <f t="shared" si="25"/>
        <v>69404.62720306078</v>
      </c>
      <c r="H200" s="10">
        <f t="shared" si="23"/>
        <v>18527591.174523577</v>
      </c>
    </row>
    <row r="201" spans="2:8" x14ac:dyDescent="0.35">
      <c r="B201" s="9">
        <f t="shared" si="24"/>
        <v>187</v>
      </c>
      <c r="C201" s="60">
        <f t="shared" si="26"/>
        <v>16</v>
      </c>
      <c r="D201" s="61">
        <f t="shared" si="20"/>
        <v>18527591.174523577</v>
      </c>
      <c r="E201" s="62">
        <f t="shared" si="21"/>
        <v>154950.80789100332</v>
      </c>
      <c r="F201" s="103">
        <f t="shared" si="22"/>
        <v>85226.91940280846</v>
      </c>
      <c r="G201" s="103">
        <f t="shared" si="25"/>
        <v>69723.888488194862</v>
      </c>
      <c r="H201" s="10">
        <f t="shared" si="23"/>
        <v>18457867.286035381</v>
      </c>
    </row>
    <row r="202" spans="2:8" x14ac:dyDescent="0.35">
      <c r="B202" s="9">
        <f t="shared" si="24"/>
        <v>188</v>
      </c>
      <c r="C202" s="60">
        <f t="shared" si="26"/>
        <v>16</v>
      </c>
      <c r="D202" s="61">
        <f t="shared" si="20"/>
        <v>18457867.286035381</v>
      </c>
      <c r="E202" s="62">
        <f t="shared" si="21"/>
        <v>154950.80789100332</v>
      </c>
      <c r="F202" s="103">
        <f t="shared" si="22"/>
        <v>84906.189515762759</v>
      </c>
      <c r="G202" s="103">
        <f t="shared" si="25"/>
        <v>70044.618375240563</v>
      </c>
      <c r="H202" s="10">
        <f t="shared" si="23"/>
        <v>18387822.66766014</v>
      </c>
    </row>
    <row r="203" spans="2:8" x14ac:dyDescent="0.35">
      <c r="B203" s="9">
        <f t="shared" si="24"/>
        <v>189</v>
      </c>
      <c r="C203" s="60">
        <f t="shared" si="26"/>
        <v>16</v>
      </c>
      <c r="D203" s="61">
        <f t="shared" si="20"/>
        <v>18387822.66766014</v>
      </c>
      <c r="E203" s="62">
        <f t="shared" si="21"/>
        <v>154950.80789100332</v>
      </c>
      <c r="F203" s="103">
        <f t="shared" si="22"/>
        <v>84583.984271236637</v>
      </c>
      <c r="G203" s="103">
        <f t="shared" si="25"/>
        <v>70366.823619766685</v>
      </c>
      <c r="H203" s="10">
        <f t="shared" si="23"/>
        <v>18317455.844040371</v>
      </c>
    </row>
    <row r="204" spans="2:8" x14ac:dyDescent="0.35">
      <c r="B204" s="9">
        <f t="shared" si="24"/>
        <v>190</v>
      </c>
      <c r="C204" s="60">
        <f t="shared" si="26"/>
        <v>16</v>
      </c>
      <c r="D204" s="61">
        <f t="shared" si="20"/>
        <v>18317455.844040371</v>
      </c>
      <c r="E204" s="62">
        <f t="shared" si="21"/>
        <v>154950.80789100332</v>
      </c>
      <c r="F204" s="103">
        <f t="shared" si="22"/>
        <v>84260.29688258571</v>
      </c>
      <c r="G204" s="103">
        <f t="shared" si="25"/>
        <v>70690.511008417612</v>
      </c>
      <c r="H204" s="10">
        <f t="shared" si="23"/>
        <v>18246765.333031952</v>
      </c>
    </row>
    <row r="205" spans="2:8" x14ac:dyDescent="0.35">
      <c r="B205" s="9">
        <f t="shared" si="24"/>
        <v>191</v>
      </c>
      <c r="C205" s="60">
        <f t="shared" si="26"/>
        <v>16</v>
      </c>
      <c r="D205" s="61">
        <f t="shared" si="20"/>
        <v>18246765.333031952</v>
      </c>
      <c r="E205" s="62">
        <f t="shared" si="21"/>
        <v>154950.80789100332</v>
      </c>
      <c r="F205" s="103">
        <f t="shared" si="22"/>
        <v>83935.120531946974</v>
      </c>
      <c r="G205" s="103">
        <f t="shared" si="25"/>
        <v>71015.687359056348</v>
      </c>
      <c r="H205" s="10">
        <f t="shared" si="23"/>
        <v>18175749.645672895</v>
      </c>
    </row>
    <row r="206" spans="2:8" x14ac:dyDescent="0.35">
      <c r="B206" s="9">
        <f t="shared" si="24"/>
        <v>192</v>
      </c>
      <c r="C206" s="60">
        <f t="shared" si="26"/>
        <v>16</v>
      </c>
      <c r="D206" s="61">
        <f t="shared" si="20"/>
        <v>18175749.645672895</v>
      </c>
      <c r="E206" s="62">
        <f t="shared" si="21"/>
        <v>154950.80789100332</v>
      </c>
      <c r="F206" s="103">
        <f t="shared" si="22"/>
        <v>83608.448370095313</v>
      </c>
      <c r="G206" s="103">
        <f t="shared" si="25"/>
        <v>71342.359520908009</v>
      </c>
      <c r="H206" s="10">
        <f t="shared" si="23"/>
        <v>18104407.286151987</v>
      </c>
    </row>
    <row r="207" spans="2:8" x14ac:dyDescent="0.35">
      <c r="B207" s="9">
        <f t="shared" si="24"/>
        <v>193</v>
      </c>
      <c r="C207" s="60">
        <f t="shared" si="26"/>
        <v>17</v>
      </c>
      <c r="D207" s="61">
        <f t="shared" si="20"/>
        <v>18104407.286151987</v>
      </c>
      <c r="E207" s="62">
        <f t="shared" si="21"/>
        <v>154950.80789100332</v>
      </c>
      <c r="F207" s="103">
        <f t="shared" si="22"/>
        <v>83280.27351629913</v>
      </c>
      <c r="G207" s="103">
        <f t="shared" si="25"/>
        <v>71670.534374704192</v>
      </c>
      <c r="H207" s="10">
        <f t="shared" si="23"/>
        <v>18032736.751777284</v>
      </c>
    </row>
    <row r="208" spans="2:8" x14ac:dyDescent="0.35">
      <c r="B208" s="9">
        <f t="shared" si="24"/>
        <v>194</v>
      </c>
      <c r="C208" s="60">
        <f t="shared" si="26"/>
        <v>17</v>
      </c>
      <c r="D208" s="61">
        <f t="shared" ref="D208:D271" si="27">H207</f>
        <v>18032736.751777284</v>
      </c>
      <c r="E208" s="62">
        <f t="shared" ref="E208:E271" si="28">$D$7</f>
        <v>154950.80789100332</v>
      </c>
      <c r="F208" s="103">
        <f t="shared" ref="F208:F271" si="29">D208*($D$4/12)</f>
        <v>82950.589058175508</v>
      </c>
      <c r="G208" s="103">
        <f t="shared" si="25"/>
        <v>72000.218832827813</v>
      </c>
      <c r="H208" s="10">
        <f t="shared" ref="H208:H271" si="30">D208-G208</f>
        <v>17960736.532944456</v>
      </c>
    </row>
    <row r="209" spans="2:8" x14ac:dyDescent="0.35">
      <c r="B209" s="9">
        <f t="shared" ref="B209:B272" si="31">B208+1</f>
        <v>195</v>
      </c>
      <c r="C209" s="60">
        <f t="shared" si="26"/>
        <v>17</v>
      </c>
      <c r="D209" s="61">
        <f t="shared" si="27"/>
        <v>17960736.532944456</v>
      </c>
      <c r="E209" s="62">
        <f t="shared" si="28"/>
        <v>154950.80789100332</v>
      </c>
      <c r="F209" s="103">
        <f t="shared" si="29"/>
        <v>82619.388051544491</v>
      </c>
      <c r="G209" s="103">
        <f t="shared" ref="G209:G272" si="32">E209-F209</f>
        <v>72331.419839458831</v>
      </c>
      <c r="H209" s="10">
        <f t="shared" si="30"/>
        <v>17888405.113104995</v>
      </c>
    </row>
    <row r="210" spans="2:8" x14ac:dyDescent="0.35">
      <c r="B210" s="9">
        <f t="shared" si="31"/>
        <v>196</v>
      </c>
      <c r="C210" s="60">
        <f t="shared" si="26"/>
        <v>17</v>
      </c>
      <c r="D210" s="61">
        <f t="shared" si="27"/>
        <v>17888405.113104995</v>
      </c>
      <c r="E210" s="62">
        <f t="shared" si="28"/>
        <v>154950.80789100332</v>
      </c>
      <c r="F210" s="103">
        <f t="shared" si="29"/>
        <v>82286.663520282978</v>
      </c>
      <c r="G210" s="103">
        <f t="shared" si="32"/>
        <v>72664.144370720343</v>
      </c>
      <c r="H210" s="10">
        <f t="shared" si="30"/>
        <v>17815740.968734276</v>
      </c>
    </row>
    <row r="211" spans="2:8" x14ac:dyDescent="0.35">
      <c r="B211" s="9">
        <f t="shared" si="31"/>
        <v>197</v>
      </c>
      <c r="C211" s="60">
        <f t="shared" si="26"/>
        <v>17</v>
      </c>
      <c r="D211" s="61">
        <f t="shared" si="27"/>
        <v>17815740.968734276</v>
      </c>
      <c r="E211" s="62">
        <f t="shared" si="28"/>
        <v>154950.80789100332</v>
      </c>
      <c r="F211" s="103">
        <f t="shared" si="29"/>
        <v>81952.408456177669</v>
      </c>
      <c r="G211" s="103">
        <f t="shared" si="32"/>
        <v>72998.399434825653</v>
      </c>
      <c r="H211" s="10">
        <f t="shared" si="30"/>
        <v>17742742.569299448</v>
      </c>
    </row>
    <row r="212" spans="2:8" x14ac:dyDescent="0.35">
      <c r="B212" s="9">
        <f t="shared" si="31"/>
        <v>198</v>
      </c>
      <c r="C212" s="60">
        <f t="shared" si="26"/>
        <v>17</v>
      </c>
      <c r="D212" s="61">
        <f t="shared" si="27"/>
        <v>17742742.569299448</v>
      </c>
      <c r="E212" s="62">
        <f t="shared" si="28"/>
        <v>154950.80789100332</v>
      </c>
      <c r="F212" s="103">
        <f t="shared" si="29"/>
        <v>81616.615818777456</v>
      </c>
      <c r="G212" s="103">
        <f t="shared" si="32"/>
        <v>73334.192072225866</v>
      </c>
      <c r="H212" s="10">
        <f t="shared" si="30"/>
        <v>17669408.377227221</v>
      </c>
    </row>
    <row r="213" spans="2:8" x14ac:dyDescent="0.35">
      <c r="B213" s="9">
        <f t="shared" si="31"/>
        <v>199</v>
      </c>
      <c r="C213" s="60">
        <f t="shared" si="26"/>
        <v>17</v>
      </c>
      <c r="D213" s="61">
        <f t="shared" si="27"/>
        <v>17669408.377227221</v>
      </c>
      <c r="E213" s="62">
        <f t="shared" si="28"/>
        <v>154950.80789100332</v>
      </c>
      <c r="F213" s="103">
        <f t="shared" si="29"/>
        <v>81279.278535245219</v>
      </c>
      <c r="G213" s="103">
        <f t="shared" si="32"/>
        <v>73671.529355758103</v>
      </c>
      <c r="H213" s="10">
        <f t="shared" si="30"/>
        <v>17595736.847871464</v>
      </c>
    </row>
    <row r="214" spans="2:8" x14ac:dyDescent="0.35">
      <c r="B214" s="9">
        <f t="shared" si="31"/>
        <v>200</v>
      </c>
      <c r="C214" s="60">
        <f t="shared" si="26"/>
        <v>17</v>
      </c>
      <c r="D214" s="61">
        <f t="shared" si="27"/>
        <v>17595736.847871464</v>
      </c>
      <c r="E214" s="62">
        <f t="shared" si="28"/>
        <v>154950.80789100332</v>
      </c>
      <c r="F214" s="103">
        <f t="shared" si="29"/>
        <v>80940.389500208737</v>
      </c>
      <c r="G214" s="103">
        <f t="shared" si="32"/>
        <v>74010.418390794584</v>
      </c>
      <c r="H214" s="10">
        <f t="shared" si="30"/>
        <v>17521726.429480668</v>
      </c>
    </row>
    <row r="215" spans="2:8" x14ac:dyDescent="0.35">
      <c r="B215" s="9">
        <f t="shared" si="31"/>
        <v>201</v>
      </c>
      <c r="C215" s="60">
        <f t="shared" si="26"/>
        <v>17</v>
      </c>
      <c r="D215" s="61">
        <f t="shared" si="27"/>
        <v>17521726.429480668</v>
      </c>
      <c r="E215" s="62">
        <f t="shared" si="28"/>
        <v>154950.80789100332</v>
      </c>
      <c r="F215" s="103">
        <f t="shared" si="29"/>
        <v>80599.941575611068</v>
      </c>
      <c r="G215" s="103">
        <f t="shared" si="32"/>
        <v>74350.866315392253</v>
      </c>
      <c r="H215" s="10">
        <f t="shared" si="30"/>
        <v>17447375.563165277</v>
      </c>
    </row>
    <row r="216" spans="2:8" x14ac:dyDescent="0.35">
      <c r="B216" s="9">
        <f t="shared" si="31"/>
        <v>202</v>
      </c>
      <c r="C216" s="60">
        <f t="shared" si="26"/>
        <v>17</v>
      </c>
      <c r="D216" s="61">
        <f t="shared" si="27"/>
        <v>17447375.563165277</v>
      </c>
      <c r="E216" s="62">
        <f t="shared" si="28"/>
        <v>154950.80789100332</v>
      </c>
      <c r="F216" s="103">
        <f t="shared" si="29"/>
        <v>80257.92759056027</v>
      </c>
      <c r="G216" s="103">
        <f t="shared" si="32"/>
        <v>74692.880300443052</v>
      </c>
      <c r="H216" s="10">
        <f t="shared" si="30"/>
        <v>17372682.682864834</v>
      </c>
    </row>
    <row r="217" spans="2:8" x14ac:dyDescent="0.35">
      <c r="B217" s="9">
        <f t="shared" si="31"/>
        <v>203</v>
      </c>
      <c r="C217" s="60">
        <f t="shared" si="26"/>
        <v>17</v>
      </c>
      <c r="D217" s="61">
        <f t="shared" si="27"/>
        <v>17372682.682864834</v>
      </c>
      <c r="E217" s="62">
        <f t="shared" si="28"/>
        <v>154950.80789100332</v>
      </c>
      <c r="F217" s="103">
        <f t="shared" si="29"/>
        <v>79914.340341178235</v>
      </c>
      <c r="G217" s="103">
        <f t="shared" si="32"/>
        <v>75036.467549825087</v>
      </c>
      <c r="H217" s="10">
        <f t="shared" si="30"/>
        <v>17297646.215315007</v>
      </c>
    </row>
    <row r="218" spans="2:8" x14ac:dyDescent="0.35">
      <c r="B218" s="9">
        <f t="shared" si="31"/>
        <v>204</v>
      </c>
      <c r="C218" s="60">
        <f t="shared" si="26"/>
        <v>17</v>
      </c>
      <c r="D218" s="61">
        <f t="shared" si="27"/>
        <v>17297646.215315007</v>
      </c>
      <c r="E218" s="62">
        <f t="shared" si="28"/>
        <v>154950.80789100332</v>
      </c>
      <c r="F218" s="103">
        <f t="shared" si="29"/>
        <v>79569.17259044903</v>
      </c>
      <c r="G218" s="103">
        <f t="shared" si="32"/>
        <v>75381.635300554291</v>
      </c>
      <c r="H218" s="10">
        <f t="shared" si="30"/>
        <v>17222264.580014452</v>
      </c>
    </row>
    <row r="219" spans="2:8" x14ac:dyDescent="0.35">
      <c r="B219" s="9">
        <f t="shared" si="31"/>
        <v>205</v>
      </c>
      <c r="C219" s="60">
        <f t="shared" si="26"/>
        <v>18</v>
      </c>
      <c r="D219" s="61">
        <f t="shared" si="27"/>
        <v>17222264.580014452</v>
      </c>
      <c r="E219" s="62">
        <f t="shared" si="28"/>
        <v>154950.80789100332</v>
      </c>
      <c r="F219" s="103">
        <f t="shared" si="29"/>
        <v>79222.417068066483</v>
      </c>
      <c r="G219" s="103">
        <f t="shared" si="32"/>
        <v>75728.390822936839</v>
      </c>
      <c r="H219" s="10">
        <f t="shared" si="30"/>
        <v>17146536.189191516</v>
      </c>
    </row>
    <row r="220" spans="2:8" x14ac:dyDescent="0.35">
      <c r="B220" s="9">
        <f t="shared" si="31"/>
        <v>206</v>
      </c>
      <c r="C220" s="60">
        <f t="shared" ref="C220:C283" si="33">C208+1</f>
        <v>18</v>
      </c>
      <c r="D220" s="61">
        <f t="shared" si="27"/>
        <v>17146536.189191516</v>
      </c>
      <c r="E220" s="62">
        <f t="shared" si="28"/>
        <v>154950.80789100332</v>
      </c>
      <c r="F220" s="103">
        <f t="shared" si="29"/>
        <v>78874.066470280974</v>
      </c>
      <c r="G220" s="103">
        <f t="shared" si="32"/>
        <v>76076.741420722348</v>
      </c>
      <c r="H220" s="10">
        <f t="shared" si="30"/>
        <v>17070459.447770793</v>
      </c>
    </row>
    <row r="221" spans="2:8" x14ac:dyDescent="0.35">
      <c r="B221" s="9">
        <f t="shared" si="31"/>
        <v>207</v>
      </c>
      <c r="C221" s="60">
        <f t="shared" si="33"/>
        <v>18</v>
      </c>
      <c r="D221" s="61">
        <f t="shared" si="27"/>
        <v>17070459.447770793</v>
      </c>
      <c r="E221" s="62">
        <f t="shared" si="28"/>
        <v>154950.80789100332</v>
      </c>
      <c r="F221" s="103">
        <f t="shared" si="29"/>
        <v>78524.11345974564</v>
      </c>
      <c r="G221" s="103">
        <f t="shared" si="32"/>
        <v>76426.694431257682</v>
      </c>
      <c r="H221" s="10">
        <f t="shared" si="30"/>
        <v>16994032.753339536</v>
      </c>
    </row>
    <row r="222" spans="2:8" x14ac:dyDescent="0.35">
      <c r="B222" s="9">
        <f t="shared" si="31"/>
        <v>208</v>
      </c>
      <c r="C222" s="60">
        <f t="shared" si="33"/>
        <v>18</v>
      </c>
      <c r="D222" s="61">
        <f t="shared" si="27"/>
        <v>16994032.753339536</v>
      </c>
      <c r="E222" s="62">
        <f t="shared" si="28"/>
        <v>154950.80789100332</v>
      </c>
      <c r="F222" s="103">
        <f t="shared" si="29"/>
        <v>78172.550665361865</v>
      </c>
      <c r="G222" s="103">
        <f t="shared" si="32"/>
        <v>76778.257225641457</v>
      </c>
      <c r="H222" s="10">
        <f t="shared" si="30"/>
        <v>16917254.496113896</v>
      </c>
    </row>
    <row r="223" spans="2:8" x14ac:dyDescent="0.35">
      <c r="B223" s="9">
        <f t="shared" si="31"/>
        <v>209</v>
      </c>
      <c r="C223" s="60">
        <f t="shared" si="33"/>
        <v>18</v>
      </c>
      <c r="D223" s="61">
        <f t="shared" si="27"/>
        <v>16917254.496113896</v>
      </c>
      <c r="E223" s="62">
        <f t="shared" si="28"/>
        <v>154950.80789100332</v>
      </c>
      <c r="F223" s="103">
        <f t="shared" si="29"/>
        <v>77819.370682123918</v>
      </c>
      <c r="G223" s="103">
        <f t="shared" si="32"/>
        <v>77131.437208879404</v>
      </c>
      <c r="H223" s="10">
        <f t="shared" si="30"/>
        <v>16840123.058905017</v>
      </c>
    </row>
    <row r="224" spans="2:8" x14ac:dyDescent="0.35">
      <c r="B224" s="9">
        <f t="shared" si="31"/>
        <v>210</v>
      </c>
      <c r="C224" s="60">
        <f t="shared" si="33"/>
        <v>18</v>
      </c>
      <c r="D224" s="61">
        <f t="shared" si="27"/>
        <v>16840123.058905017</v>
      </c>
      <c r="E224" s="62">
        <f t="shared" si="28"/>
        <v>154950.80789100332</v>
      </c>
      <c r="F224" s="103">
        <f t="shared" si="29"/>
        <v>77464.566070963076</v>
      </c>
      <c r="G224" s="103">
        <f t="shared" si="32"/>
        <v>77486.241820040246</v>
      </c>
      <c r="H224" s="10">
        <f t="shared" si="30"/>
        <v>16762636.817084976</v>
      </c>
    </row>
    <row r="225" spans="2:8" x14ac:dyDescent="0.35">
      <c r="B225" s="9">
        <f t="shared" si="31"/>
        <v>211</v>
      </c>
      <c r="C225" s="60">
        <f t="shared" si="33"/>
        <v>18</v>
      </c>
      <c r="D225" s="61">
        <f t="shared" si="27"/>
        <v>16762636.817084976</v>
      </c>
      <c r="E225" s="62">
        <f t="shared" si="28"/>
        <v>154950.80789100332</v>
      </c>
      <c r="F225" s="103">
        <f t="shared" si="29"/>
        <v>77108.129358590886</v>
      </c>
      <c r="G225" s="103">
        <f t="shared" si="32"/>
        <v>77842.678532412436</v>
      </c>
      <c r="H225" s="10">
        <f t="shared" si="30"/>
        <v>16684794.138552563</v>
      </c>
    </row>
    <row r="226" spans="2:8" x14ac:dyDescent="0.35">
      <c r="B226" s="9">
        <f t="shared" si="31"/>
        <v>212</v>
      </c>
      <c r="C226" s="60">
        <f t="shared" si="33"/>
        <v>18</v>
      </c>
      <c r="D226" s="61">
        <f t="shared" si="27"/>
        <v>16684794.138552563</v>
      </c>
      <c r="E226" s="62">
        <f t="shared" si="28"/>
        <v>154950.80789100332</v>
      </c>
      <c r="F226" s="103">
        <f t="shared" si="29"/>
        <v>76750.053037341786</v>
      </c>
      <c r="G226" s="103">
        <f t="shared" si="32"/>
        <v>78200.754853661536</v>
      </c>
      <c r="H226" s="10">
        <f t="shared" si="30"/>
        <v>16606593.383698901</v>
      </c>
    </row>
    <row r="227" spans="2:8" x14ac:dyDescent="0.35">
      <c r="B227" s="9">
        <f t="shared" si="31"/>
        <v>213</v>
      </c>
      <c r="C227" s="60">
        <f t="shared" si="33"/>
        <v>18</v>
      </c>
      <c r="D227" s="61">
        <f t="shared" si="27"/>
        <v>16606593.383698901</v>
      </c>
      <c r="E227" s="62">
        <f t="shared" si="28"/>
        <v>154950.80789100332</v>
      </c>
      <c r="F227" s="103">
        <f t="shared" si="29"/>
        <v>76390.329565014938</v>
      </c>
      <c r="G227" s="103">
        <f t="shared" si="32"/>
        <v>78560.478325988384</v>
      </c>
      <c r="H227" s="10">
        <f t="shared" si="30"/>
        <v>16528032.905372912</v>
      </c>
    </row>
    <row r="228" spans="2:8" x14ac:dyDescent="0.35">
      <c r="B228" s="9">
        <f t="shared" si="31"/>
        <v>214</v>
      </c>
      <c r="C228" s="60">
        <f t="shared" si="33"/>
        <v>18</v>
      </c>
      <c r="D228" s="61">
        <f t="shared" si="27"/>
        <v>16528032.905372912</v>
      </c>
      <c r="E228" s="62">
        <f t="shared" si="28"/>
        <v>154950.80789100332</v>
      </c>
      <c r="F228" s="103">
        <f t="shared" si="29"/>
        <v>76028.951364715394</v>
      </c>
      <c r="G228" s="103">
        <f t="shared" si="32"/>
        <v>78921.856526287927</v>
      </c>
      <c r="H228" s="10">
        <f t="shared" si="30"/>
        <v>16449111.048846625</v>
      </c>
    </row>
    <row r="229" spans="2:8" x14ac:dyDescent="0.35">
      <c r="B229" s="9">
        <f t="shared" si="31"/>
        <v>215</v>
      </c>
      <c r="C229" s="60">
        <f t="shared" si="33"/>
        <v>18</v>
      </c>
      <c r="D229" s="61">
        <f t="shared" si="27"/>
        <v>16449111.048846625</v>
      </c>
      <c r="E229" s="62">
        <f t="shared" si="28"/>
        <v>154950.80789100332</v>
      </c>
      <c r="F229" s="103">
        <f t="shared" si="29"/>
        <v>75665.910824694467</v>
      </c>
      <c r="G229" s="103">
        <f t="shared" si="32"/>
        <v>79284.897066308855</v>
      </c>
      <c r="H229" s="10">
        <f t="shared" si="30"/>
        <v>16369826.151780317</v>
      </c>
    </row>
    <row r="230" spans="2:8" x14ac:dyDescent="0.35">
      <c r="B230" s="9">
        <f t="shared" si="31"/>
        <v>216</v>
      </c>
      <c r="C230" s="60">
        <f t="shared" si="33"/>
        <v>18</v>
      </c>
      <c r="D230" s="61">
        <f t="shared" si="27"/>
        <v>16369826.151780317</v>
      </c>
      <c r="E230" s="62">
        <f t="shared" si="28"/>
        <v>154950.80789100332</v>
      </c>
      <c r="F230" s="103">
        <f t="shared" si="29"/>
        <v>75301.200298189462</v>
      </c>
      <c r="G230" s="103">
        <f t="shared" si="32"/>
        <v>79649.60759281386</v>
      </c>
      <c r="H230" s="10">
        <f t="shared" si="30"/>
        <v>16290176.544187503</v>
      </c>
    </row>
    <row r="231" spans="2:8" x14ac:dyDescent="0.35">
      <c r="B231" s="9">
        <f t="shared" si="31"/>
        <v>217</v>
      </c>
      <c r="C231" s="60">
        <f t="shared" si="33"/>
        <v>19</v>
      </c>
      <c r="D231" s="61">
        <f t="shared" si="27"/>
        <v>16290176.544187503</v>
      </c>
      <c r="E231" s="62">
        <f t="shared" si="28"/>
        <v>154950.80789100332</v>
      </c>
      <c r="F231" s="103">
        <f t="shared" si="29"/>
        <v>74934.812103262506</v>
      </c>
      <c r="G231" s="103">
        <f t="shared" si="32"/>
        <v>80015.995787740816</v>
      </c>
      <c r="H231" s="10">
        <f t="shared" si="30"/>
        <v>16210160.548399761</v>
      </c>
    </row>
    <row r="232" spans="2:8" x14ac:dyDescent="0.35">
      <c r="B232" s="9">
        <f t="shared" si="31"/>
        <v>218</v>
      </c>
      <c r="C232" s="60">
        <f t="shared" si="33"/>
        <v>19</v>
      </c>
      <c r="D232" s="61">
        <f t="shared" si="27"/>
        <v>16210160.548399761</v>
      </c>
      <c r="E232" s="62">
        <f t="shared" si="28"/>
        <v>154950.80789100332</v>
      </c>
      <c r="F232" s="103">
        <f t="shared" si="29"/>
        <v>74566.738522638901</v>
      </c>
      <c r="G232" s="103">
        <f t="shared" si="32"/>
        <v>80384.06936836442</v>
      </c>
      <c r="H232" s="10">
        <f t="shared" si="30"/>
        <v>16129776.479031397</v>
      </c>
    </row>
    <row r="233" spans="2:8" x14ac:dyDescent="0.35">
      <c r="B233" s="9">
        <f t="shared" si="31"/>
        <v>219</v>
      </c>
      <c r="C233" s="60">
        <f t="shared" si="33"/>
        <v>19</v>
      </c>
      <c r="D233" s="61">
        <f t="shared" si="27"/>
        <v>16129776.479031397</v>
      </c>
      <c r="E233" s="62">
        <f t="shared" si="28"/>
        <v>154950.80789100332</v>
      </c>
      <c r="F233" s="103">
        <f t="shared" si="29"/>
        <v>74196.971803544424</v>
      </c>
      <c r="G233" s="103">
        <f t="shared" si="32"/>
        <v>80753.836087458898</v>
      </c>
      <c r="H233" s="10">
        <f t="shared" si="30"/>
        <v>16049022.642943937</v>
      </c>
    </row>
    <row r="234" spans="2:8" x14ac:dyDescent="0.35">
      <c r="B234" s="9">
        <f t="shared" si="31"/>
        <v>220</v>
      </c>
      <c r="C234" s="60">
        <f t="shared" si="33"/>
        <v>19</v>
      </c>
      <c r="D234" s="61">
        <f t="shared" si="27"/>
        <v>16049022.642943937</v>
      </c>
      <c r="E234" s="62">
        <f t="shared" si="28"/>
        <v>154950.80789100332</v>
      </c>
      <c r="F234" s="103">
        <f t="shared" si="29"/>
        <v>73825.504157542106</v>
      </c>
      <c r="G234" s="103">
        <f t="shared" si="32"/>
        <v>81125.303733461216</v>
      </c>
      <c r="H234" s="10">
        <f t="shared" si="30"/>
        <v>15967897.339210477</v>
      </c>
    </row>
    <row r="235" spans="2:8" x14ac:dyDescent="0.35">
      <c r="B235" s="9">
        <f t="shared" si="31"/>
        <v>221</v>
      </c>
      <c r="C235" s="60">
        <f t="shared" si="33"/>
        <v>19</v>
      </c>
      <c r="D235" s="61">
        <f t="shared" si="27"/>
        <v>15967897.339210477</v>
      </c>
      <c r="E235" s="62">
        <f t="shared" si="28"/>
        <v>154950.80789100332</v>
      </c>
      <c r="F235" s="103">
        <f t="shared" si="29"/>
        <v>73452.327760368193</v>
      </c>
      <c r="G235" s="103">
        <f t="shared" si="32"/>
        <v>81498.480130635129</v>
      </c>
      <c r="H235" s="10">
        <f t="shared" si="30"/>
        <v>15886398.859079842</v>
      </c>
    </row>
    <row r="236" spans="2:8" x14ac:dyDescent="0.35">
      <c r="B236" s="9">
        <f t="shared" si="31"/>
        <v>222</v>
      </c>
      <c r="C236" s="60">
        <f t="shared" si="33"/>
        <v>19</v>
      </c>
      <c r="D236" s="61">
        <f t="shared" si="27"/>
        <v>15886398.859079842</v>
      </c>
      <c r="E236" s="62">
        <f t="shared" si="28"/>
        <v>154950.80789100332</v>
      </c>
      <c r="F236" s="103">
        <f t="shared" si="29"/>
        <v>73077.434751767272</v>
      </c>
      <c r="G236" s="103">
        <f t="shared" si="32"/>
        <v>81873.37313923605</v>
      </c>
      <c r="H236" s="10">
        <f t="shared" si="30"/>
        <v>15804525.485940605</v>
      </c>
    </row>
    <row r="237" spans="2:8" x14ac:dyDescent="0.35">
      <c r="B237" s="9">
        <f t="shared" si="31"/>
        <v>223</v>
      </c>
      <c r="C237" s="60">
        <f t="shared" si="33"/>
        <v>19</v>
      </c>
      <c r="D237" s="61">
        <f t="shared" si="27"/>
        <v>15804525.485940605</v>
      </c>
      <c r="E237" s="62">
        <f t="shared" si="28"/>
        <v>154950.80789100332</v>
      </c>
      <c r="F237" s="103">
        <f t="shared" si="29"/>
        <v>72700.817235326787</v>
      </c>
      <c r="G237" s="103">
        <f t="shared" si="32"/>
        <v>82249.990655676535</v>
      </c>
      <c r="H237" s="10">
        <f t="shared" si="30"/>
        <v>15722275.495284928</v>
      </c>
    </row>
    <row r="238" spans="2:8" x14ac:dyDescent="0.35">
      <c r="B238" s="9">
        <f t="shared" si="31"/>
        <v>224</v>
      </c>
      <c r="C238" s="60">
        <f t="shared" si="33"/>
        <v>19</v>
      </c>
      <c r="D238" s="61">
        <f t="shared" si="27"/>
        <v>15722275.495284928</v>
      </c>
      <c r="E238" s="62">
        <f t="shared" si="28"/>
        <v>154950.80789100332</v>
      </c>
      <c r="F238" s="103">
        <f t="shared" si="29"/>
        <v>72322.467278310665</v>
      </c>
      <c r="G238" s="103">
        <f t="shared" si="32"/>
        <v>82628.340612692657</v>
      </c>
      <c r="H238" s="10">
        <f t="shared" si="30"/>
        <v>15639647.154672235</v>
      </c>
    </row>
    <row r="239" spans="2:8" x14ac:dyDescent="0.35">
      <c r="B239" s="9">
        <f t="shared" si="31"/>
        <v>225</v>
      </c>
      <c r="C239" s="60">
        <f t="shared" si="33"/>
        <v>19</v>
      </c>
      <c r="D239" s="61">
        <f t="shared" si="27"/>
        <v>15639647.154672235</v>
      </c>
      <c r="E239" s="62">
        <f t="shared" si="28"/>
        <v>154950.80789100332</v>
      </c>
      <c r="F239" s="103">
        <f t="shared" si="29"/>
        <v>71942.376911492276</v>
      </c>
      <c r="G239" s="103">
        <f t="shared" si="32"/>
        <v>83008.430979511046</v>
      </c>
      <c r="H239" s="10">
        <f t="shared" si="30"/>
        <v>15556638.723692724</v>
      </c>
    </row>
    <row r="240" spans="2:8" x14ac:dyDescent="0.35">
      <c r="B240" s="9">
        <f t="shared" si="31"/>
        <v>226</v>
      </c>
      <c r="C240" s="60">
        <f t="shared" si="33"/>
        <v>19</v>
      </c>
      <c r="D240" s="61">
        <f t="shared" si="27"/>
        <v>15556638.723692724</v>
      </c>
      <c r="E240" s="62">
        <f t="shared" si="28"/>
        <v>154950.80789100332</v>
      </c>
      <c r="F240" s="103">
        <f t="shared" si="29"/>
        <v>71560.538128986533</v>
      </c>
      <c r="G240" s="103">
        <f t="shared" si="32"/>
        <v>83390.269762016789</v>
      </c>
      <c r="H240" s="10">
        <f t="shared" si="30"/>
        <v>15473248.453930708</v>
      </c>
    </row>
    <row r="241" spans="2:8" x14ac:dyDescent="0.35">
      <c r="B241" s="9">
        <f t="shared" si="31"/>
        <v>227</v>
      </c>
      <c r="C241" s="60">
        <f t="shared" si="33"/>
        <v>19</v>
      </c>
      <c r="D241" s="61">
        <f t="shared" si="27"/>
        <v>15473248.453930708</v>
      </c>
      <c r="E241" s="62">
        <f t="shared" si="28"/>
        <v>154950.80789100332</v>
      </c>
      <c r="F241" s="103">
        <f t="shared" si="29"/>
        <v>71176.942888081248</v>
      </c>
      <c r="G241" s="103">
        <f t="shared" si="32"/>
        <v>83773.865002922073</v>
      </c>
      <c r="H241" s="10">
        <f t="shared" si="30"/>
        <v>15389474.588927785</v>
      </c>
    </row>
    <row r="242" spans="2:8" x14ac:dyDescent="0.35">
      <c r="B242" s="9">
        <f t="shared" si="31"/>
        <v>228</v>
      </c>
      <c r="C242" s="60">
        <f t="shared" si="33"/>
        <v>19</v>
      </c>
      <c r="D242" s="61">
        <f t="shared" si="27"/>
        <v>15389474.588927785</v>
      </c>
      <c r="E242" s="62">
        <f t="shared" si="28"/>
        <v>154950.80789100332</v>
      </c>
      <c r="F242" s="103">
        <f t="shared" si="29"/>
        <v>70791.583109067811</v>
      </c>
      <c r="G242" s="103">
        <f t="shared" si="32"/>
        <v>84159.224781935511</v>
      </c>
      <c r="H242" s="10">
        <f t="shared" si="30"/>
        <v>15305315.364145849</v>
      </c>
    </row>
    <row r="243" spans="2:8" x14ac:dyDescent="0.35">
      <c r="B243" s="9">
        <f t="shared" si="31"/>
        <v>229</v>
      </c>
      <c r="C243" s="60">
        <f t="shared" si="33"/>
        <v>20</v>
      </c>
      <c r="D243" s="61">
        <f t="shared" si="27"/>
        <v>15305315.364145849</v>
      </c>
      <c r="E243" s="62">
        <f t="shared" si="28"/>
        <v>154950.80789100332</v>
      </c>
      <c r="F243" s="103">
        <f t="shared" si="29"/>
        <v>70404.450675070897</v>
      </c>
      <c r="G243" s="103">
        <f t="shared" si="32"/>
        <v>84546.357215932425</v>
      </c>
      <c r="H243" s="10">
        <f t="shared" si="30"/>
        <v>15220769.006929917</v>
      </c>
    </row>
    <row r="244" spans="2:8" x14ac:dyDescent="0.35">
      <c r="B244" s="9">
        <f t="shared" si="31"/>
        <v>230</v>
      </c>
      <c r="C244" s="60">
        <f t="shared" si="33"/>
        <v>20</v>
      </c>
      <c r="D244" s="61">
        <f t="shared" si="27"/>
        <v>15220769.006929917</v>
      </c>
      <c r="E244" s="62">
        <f t="shared" si="28"/>
        <v>154950.80789100332</v>
      </c>
      <c r="F244" s="103">
        <f t="shared" si="29"/>
        <v>70015.537431877616</v>
      </c>
      <c r="G244" s="103">
        <f t="shared" si="32"/>
        <v>84935.270459125706</v>
      </c>
      <c r="H244" s="10">
        <f t="shared" si="30"/>
        <v>15135833.736470792</v>
      </c>
    </row>
    <row r="245" spans="2:8" x14ac:dyDescent="0.35">
      <c r="B245" s="9">
        <f t="shared" si="31"/>
        <v>231</v>
      </c>
      <c r="C245" s="60">
        <f t="shared" si="33"/>
        <v>20</v>
      </c>
      <c r="D245" s="61">
        <f t="shared" si="27"/>
        <v>15135833.736470792</v>
      </c>
      <c r="E245" s="62">
        <f t="shared" si="28"/>
        <v>154950.80789100332</v>
      </c>
      <c r="F245" s="103">
        <f t="shared" si="29"/>
        <v>69624.835187765639</v>
      </c>
      <c r="G245" s="103">
        <f t="shared" si="32"/>
        <v>85325.972703237683</v>
      </c>
      <c r="H245" s="10">
        <f t="shared" si="30"/>
        <v>15050507.763767555</v>
      </c>
    </row>
    <row r="246" spans="2:8" x14ac:dyDescent="0.35">
      <c r="B246" s="9">
        <f t="shared" si="31"/>
        <v>232</v>
      </c>
      <c r="C246" s="60">
        <f t="shared" si="33"/>
        <v>20</v>
      </c>
      <c r="D246" s="61">
        <f t="shared" si="27"/>
        <v>15050507.763767555</v>
      </c>
      <c r="E246" s="62">
        <f t="shared" si="28"/>
        <v>154950.80789100332</v>
      </c>
      <c r="F246" s="103">
        <f t="shared" si="29"/>
        <v>69232.335713330758</v>
      </c>
      <c r="G246" s="103">
        <f t="shared" si="32"/>
        <v>85718.472177672564</v>
      </c>
      <c r="H246" s="10">
        <f t="shared" si="30"/>
        <v>14964789.291589882</v>
      </c>
    </row>
    <row r="247" spans="2:8" x14ac:dyDescent="0.35">
      <c r="B247" s="9">
        <f t="shared" si="31"/>
        <v>233</v>
      </c>
      <c r="C247" s="60">
        <f t="shared" si="33"/>
        <v>20</v>
      </c>
      <c r="D247" s="61">
        <f t="shared" si="27"/>
        <v>14964789.291589882</v>
      </c>
      <c r="E247" s="62">
        <f t="shared" si="28"/>
        <v>154950.80789100332</v>
      </c>
      <c r="F247" s="103">
        <f t="shared" si="29"/>
        <v>68838.030741313458</v>
      </c>
      <c r="G247" s="103">
        <f t="shared" si="32"/>
        <v>86112.777149689864</v>
      </c>
      <c r="H247" s="10">
        <f t="shared" si="30"/>
        <v>14878676.514440192</v>
      </c>
    </row>
    <row r="248" spans="2:8" x14ac:dyDescent="0.35">
      <c r="B248" s="9">
        <f t="shared" si="31"/>
        <v>234</v>
      </c>
      <c r="C248" s="60">
        <f t="shared" si="33"/>
        <v>20</v>
      </c>
      <c r="D248" s="61">
        <f t="shared" si="27"/>
        <v>14878676.514440192</v>
      </c>
      <c r="E248" s="62">
        <f t="shared" si="28"/>
        <v>154950.80789100332</v>
      </c>
      <c r="F248" s="103">
        <f t="shared" si="29"/>
        <v>68441.911966424886</v>
      </c>
      <c r="G248" s="103">
        <f t="shared" si="32"/>
        <v>86508.895924578435</v>
      </c>
      <c r="H248" s="10">
        <f t="shared" si="30"/>
        <v>14792167.618515613</v>
      </c>
    </row>
    <row r="249" spans="2:8" x14ac:dyDescent="0.35">
      <c r="B249" s="9">
        <f t="shared" si="31"/>
        <v>235</v>
      </c>
      <c r="C249" s="60">
        <f t="shared" si="33"/>
        <v>20</v>
      </c>
      <c r="D249" s="61">
        <f t="shared" si="27"/>
        <v>14792167.618515613</v>
      </c>
      <c r="E249" s="62">
        <f t="shared" si="28"/>
        <v>154950.80789100332</v>
      </c>
      <c r="F249" s="103">
        <f t="shared" si="29"/>
        <v>68043.971045171813</v>
      </c>
      <c r="G249" s="103">
        <f t="shared" si="32"/>
        <v>86906.836845831509</v>
      </c>
      <c r="H249" s="10">
        <f t="shared" si="30"/>
        <v>14705260.781669781</v>
      </c>
    </row>
    <row r="250" spans="2:8" x14ac:dyDescent="0.35">
      <c r="B250" s="9">
        <f t="shared" si="31"/>
        <v>236</v>
      </c>
      <c r="C250" s="60">
        <f t="shared" si="33"/>
        <v>20</v>
      </c>
      <c r="D250" s="61">
        <f t="shared" si="27"/>
        <v>14705260.781669781</v>
      </c>
      <c r="E250" s="62">
        <f t="shared" si="28"/>
        <v>154950.80789100332</v>
      </c>
      <c r="F250" s="103">
        <f t="shared" si="29"/>
        <v>67644.199595680984</v>
      </c>
      <c r="G250" s="103">
        <f t="shared" si="32"/>
        <v>87306.608295322338</v>
      </c>
      <c r="H250" s="10">
        <f t="shared" si="30"/>
        <v>14617954.173374459</v>
      </c>
    </row>
    <row r="251" spans="2:8" x14ac:dyDescent="0.35">
      <c r="B251" s="9">
        <f t="shared" si="31"/>
        <v>237</v>
      </c>
      <c r="C251" s="60">
        <f t="shared" si="33"/>
        <v>20</v>
      </c>
      <c r="D251" s="61">
        <f t="shared" si="27"/>
        <v>14617954.173374459</v>
      </c>
      <c r="E251" s="62">
        <f t="shared" si="28"/>
        <v>154950.80789100332</v>
      </c>
      <c r="F251" s="103">
        <f t="shared" si="29"/>
        <v>67242.589197522509</v>
      </c>
      <c r="G251" s="103">
        <f t="shared" si="32"/>
        <v>87708.218693480812</v>
      </c>
      <c r="H251" s="10">
        <f t="shared" si="30"/>
        <v>14530245.954680979</v>
      </c>
    </row>
    <row r="252" spans="2:8" x14ac:dyDescent="0.35">
      <c r="B252" s="9">
        <f t="shared" si="31"/>
        <v>238</v>
      </c>
      <c r="C252" s="60">
        <f t="shared" si="33"/>
        <v>20</v>
      </c>
      <c r="D252" s="61">
        <f t="shared" si="27"/>
        <v>14530245.954680979</v>
      </c>
      <c r="E252" s="62">
        <f t="shared" si="28"/>
        <v>154950.80789100332</v>
      </c>
      <c r="F252" s="103">
        <f t="shared" si="29"/>
        <v>66839.131391532501</v>
      </c>
      <c r="G252" s="103">
        <f t="shared" si="32"/>
        <v>88111.676499470821</v>
      </c>
      <c r="H252" s="10">
        <f t="shared" si="30"/>
        <v>14442134.278181508</v>
      </c>
    </row>
    <row r="253" spans="2:8" x14ac:dyDescent="0.35">
      <c r="B253" s="9">
        <f t="shared" si="31"/>
        <v>239</v>
      </c>
      <c r="C253" s="60">
        <f t="shared" si="33"/>
        <v>20</v>
      </c>
      <c r="D253" s="61">
        <f t="shared" si="27"/>
        <v>14442134.278181508</v>
      </c>
      <c r="E253" s="62">
        <f t="shared" si="28"/>
        <v>154950.80789100332</v>
      </c>
      <c r="F253" s="103">
        <f t="shared" si="29"/>
        <v>66433.817679634943</v>
      </c>
      <c r="G253" s="103">
        <f t="shared" si="32"/>
        <v>88516.990211368378</v>
      </c>
      <c r="H253" s="10">
        <f t="shared" si="30"/>
        <v>14353617.287970141</v>
      </c>
    </row>
    <row r="254" spans="2:8" x14ac:dyDescent="0.35">
      <c r="B254" s="9">
        <f t="shared" si="31"/>
        <v>240</v>
      </c>
      <c r="C254" s="60">
        <f t="shared" si="33"/>
        <v>20</v>
      </c>
      <c r="D254" s="61">
        <f t="shared" si="27"/>
        <v>14353617.287970141</v>
      </c>
      <c r="E254" s="62">
        <f t="shared" si="28"/>
        <v>154950.80789100332</v>
      </c>
      <c r="F254" s="103">
        <f t="shared" si="29"/>
        <v>66026.639524662649</v>
      </c>
      <c r="G254" s="103">
        <f t="shared" si="32"/>
        <v>88924.168366340673</v>
      </c>
      <c r="H254" s="10">
        <f t="shared" si="30"/>
        <v>14264693.1196038</v>
      </c>
    </row>
    <row r="255" spans="2:8" x14ac:dyDescent="0.35">
      <c r="B255" s="9">
        <f t="shared" si="31"/>
        <v>241</v>
      </c>
      <c r="C255" s="60">
        <f t="shared" si="33"/>
        <v>21</v>
      </c>
      <c r="D255" s="61">
        <f t="shared" si="27"/>
        <v>14264693.1196038</v>
      </c>
      <c r="E255" s="62">
        <f t="shared" si="28"/>
        <v>154950.80789100332</v>
      </c>
      <c r="F255" s="103">
        <f t="shared" si="29"/>
        <v>65617.588350177481</v>
      </c>
      <c r="G255" s="103">
        <f t="shared" si="32"/>
        <v>89333.219540825841</v>
      </c>
      <c r="H255" s="10">
        <f t="shared" si="30"/>
        <v>14175359.900062975</v>
      </c>
    </row>
    <row r="256" spans="2:8" x14ac:dyDescent="0.35">
      <c r="B256" s="9">
        <f t="shared" si="31"/>
        <v>242</v>
      </c>
      <c r="C256" s="60">
        <f t="shared" si="33"/>
        <v>21</v>
      </c>
      <c r="D256" s="61">
        <f t="shared" si="27"/>
        <v>14175359.900062975</v>
      </c>
      <c r="E256" s="62">
        <f t="shared" si="28"/>
        <v>154950.80789100332</v>
      </c>
      <c r="F256" s="103">
        <f t="shared" si="29"/>
        <v>65206.655540289685</v>
      </c>
      <c r="G256" s="103">
        <f t="shared" si="32"/>
        <v>89744.152350713644</v>
      </c>
      <c r="H256" s="10">
        <f t="shared" si="30"/>
        <v>14085615.74771226</v>
      </c>
    </row>
    <row r="257" spans="2:8" x14ac:dyDescent="0.35">
      <c r="B257" s="9">
        <f t="shared" si="31"/>
        <v>243</v>
      </c>
      <c r="C257" s="60">
        <f t="shared" si="33"/>
        <v>21</v>
      </c>
      <c r="D257" s="61">
        <f t="shared" si="27"/>
        <v>14085615.74771226</v>
      </c>
      <c r="E257" s="62">
        <f t="shared" si="28"/>
        <v>154950.80789100332</v>
      </c>
      <c r="F257" s="103">
        <f t="shared" si="29"/>
        <v>64793.832439476399</v>
      </c>
      <c r="G257" s="103">
        <f t="shared" si="32"/>
        <v>90156.975451526931</v>
      </c>
      <c r="H257" s="10">
        <f t="shared" si="30"/>
        <v>13995458.772260733</v>
      </c>
    </row>
    <row r="258" spans="2:8" x14ac:dyDescent="0.35">
      <c r="B258" s="9">
        <f t="shared" si="31"/>
        <v>244</v>
      </c>
      <c r="C258" s="60">
        <f t="shared" si="33"/>
        <v>21</v>
      </c>
      <c r="D258" s="61">
        <f t="shared" si="27"/>
        <v>13995458.772260733</v>
      </c>
      <c r="E258" s="62">
        <f t="shared" si="28"/>
        <v>154950.80789100332</v>
      </c>
      <c r="F258" s="103">
        <f t="shared" si="29"/>
        <v>64379.110352399373</v>
      </c>
      <c r="G258" s="103">
        <f t="shared" si="32"/>
        <v>90571.697538603941</v>
      </c>
      <c r="H258" s="10">
        <f t="shared" si="30"/>
        <v>13904887.07472213</v>
      </c>
    </row>
    <row r="259" spans="2:8" x14ac:dyDescent="0.35">
      <c r="B259" s="9">
        <f t="shared" si="31"/>
        <v>245</v>
      </c>
      <c r="C259" s="60">
        <f t="shared" si="33"/>
        <v>21</v>
      </c>
      <c r="D259" s="61">
        <f t="shared" si="27"/>
        <v>13904887.07472213</v>
      </c>
      <c r="E259" s="62">
        <f t="shared" si="28"/>
        <v>154950.80789100332</v>
      </c>
      <c r="F259" s="103">
        <f t="shared" si="29"/>
        <v>63962.480543721795</v>
      </c>
      <c r="G259" s="103">
        <f t="shared" si="32"/>
        <v>90988.327347281534</v>
      </c>
      <c r="H259" s="10">
        <f t="shared" si="30"/>
        <v>13813898.747374848</v>
      </c>
    </row>
    <row r="260" spans="2:8" x14ac:dyDescent="0.35">
      <c r="B260" s="9">
        <f t="shared" si="31"/>
        <v>246</v>
      </c>
      <c r="C260" s="60">
        <f t="shared" si="33"/>
        <v>21</v>
      </c>
      <c r="D260" s="61">
        <f t="shared" si="27"/>
        <v>13813898.747374848</v>
      </c>
      <c r="E260" s="62">
        <f t="shared" si="28"/>
        <v>154950.80789100332</v>
      </c>
      <c r="F260" s="103">
        <f t="shared" si="29"/>
        <v>63543.934237924295</v>
      </c>
      <c r="G260" s="103">
        <f t="shared" si="32"/>
        <v>91406.873653079034</v>
      </c>
      <c r="H260" s="10">
        <f t="shared" si="30"/>
        <v>13722491.873721769</v>
      </c>
    </row>
    <row r="261" spans="2:8" x14ac:dyDescent="0.35">
      <c r="B261" s="9">
        <f t="shared" si="31"/>
        <v>247</v>
      </c>
      <c r="C261" s="60">
        <f t="shared" si="33"/>
        <v>21</v>
      </c>
      <c r="D261" s="61">
        <f t="shared" si="27"/>
        <v>13722491.873721769</v>
      </c>
      <c r="E261" s="62">
        <f t="shared" si="28"/>
        <v>154950.80789100332</v>
      </c>
      <c r="F261" s="103">
        <f t="shared" si="29"/>
        <v>63123.462619120139</v>
      </c>
      <c r="G261" s="103">
        <f t="shared" si="32"/>
        <v>91827.345271883183</v>
      </c>
      <c r="H261" s="10">
        <f t="shared" si="30"/>
        <v>13630664.528449886</v>
      </c>
    </row>
    <row r="262" spans="2:8" x14ac:dyDescent="0.35">
      <c r="B262" s="9">
        <f t="shared" si="31"/>
        <v>248</v>
      </c>
      <c r="C262" s="60">
        <f t="shared" si="33"/>
        <v>21</v>
      </c>
      <c r="D262" s="61">
        <f t="shared" si="27"/>
        <v>13630664.528449886</v>
      </c>
      <c r="E262" s="62">
        <f t="shared" si="28"/>
        <v>154950.80789100332</v>
      </c>
      <c r="F262" s="103">
        <f t="shared" si="29"/>
        <v>62701.056830869471</v>
      </c>
      <c r="G262" s="103">
        <f t="shared" si="32"/>
        <v>92249.751060133858</v>
      </c>
      <c r="H262" s="10">
        <f t="shared" si="30"/>
        <v>13538414.777389752</v>
      </c>
    </row>
    <row r="263" spans="2:8" x14ac:dyDescent="0.35">
      <c r="B263" s="9">
        <f t="shared" si="31"/>
        <v>249</v>
      </c>
      <c r="C263" s="60">
        <f t="shared" si="33"/>
        <v>21</v>
      </c>
      <c r="D263" s="61">
        <f t="shared" si="27"/>
        <v>13538414.777389752</v>
      </c>
      <c r="E263" s="62">
        <f t="shared" si="28"/>
        <v>154950.80789100332</v>
      </c>
      <c r="F263" s="103">
        <f t="shared" si="29"/>
        <v>62276.70797599286</v>
      </c>
      <c r="G263" s="103">
        <f t="shared" si="32"/>
        <v>92674.099915010462</v>
      </c>
      <c r="H263" s="10">
        <f t="shared" si="30"/>
        <v>13445740.677474741</v>
      </c>
    </row>
    <row r="264" spans="2:8" x14ac:dyDescent="0.35">
      <c r="B264" s="9">
        <f t="shared" si="31"/>
        <v>250</v>
      </c>
      <c r="C264" s="60">
        <f t="shared" si="33"/>
        <v>21</v>
      </c>
      <c r="D264" s="61">
        <f t="shared" si="27"/>
        <v>13445740.677474741</v>
      </c>
      <c r="E264" s="62">
        <f t="shared" si="28"/>
        <v>154950.80789100332</v>
      </c>
      <c r="F264" s="103">
        <f t="shared" si="29"/>
        <v>61850.407116383809</v>
      </c>
      <c r="G264" s="103">
        <f t="shared" si="32"/>
        <v>93100.400774619513</v>
      </c>
      <c r="H264" s="10">
        <f t="shared" si="30"/>
        <v>13352640.276700122</v>
      </c>
    </row>
    <row r="265" spans="2:8" x14ac:dyDescent="0.35">
      <c r="B265" s="9">
        <f t="shared" si="31"/>
        <v>251</v>
      </c>
      <c r="C265" s="60">
        <f t="shared" si="33"/>
        <v>21</v>
      </c>
      <c r="D265" s="61">
        <f t="shared" si="27"/>
        <v>13352640.276700122</v>
      </c>
      <c r="E265" s="62">
        <f t="shared" si="28"/>
        <v>154950.80789100332</v>
      </c>
      <c r="F265" s="103">
        <f t="shared" si="29"/>
        <v>61422.145272820562</v>
      </c>
      <c r="G265" s="103">
        <f t="shared" si="32"/>
        <v>93528.66261818276</v>
      </c>
      <c r="H265" s="10">
        <f t="shared" si="30"/>
        <v>13259111.61408194</v>
      </c>
    </row>
    <row r="266" spans="2:8" x14ac:dyDescent="0.35">
      <c r="B266" s="9">
        <f t="shared" si="31"/>
        <v>252</v>
      </c>
      <c r="C266" s="60">
        <f t="shared" si="33"/>
        <v>21</v>
      </c>
      <c r="D266" s="61">
        <f t="shared" si="27"/>
        <v>13259111.61408194</v>
      </c>
      <c r="E266" s="62">
        <f t="shared" si="28"/>
        <v>154950.80789100332</v>
      </c>
      <c r="F266" s="103">
        <f t="shared" si="29"/>
        <v>60991.913424776918</v>
      </c>
      <c r="G266" s="103">
        <f t="shared" si="32"/>
        <v>93958.894466226397</v>
      </c>
      <c r="H266" s="10">
        <f t="shared" si="30"/>
        <v>13165152.719615713</v>
      </c>
    </row>
    <row r="267" spans="2:8" x14ac:dyDescent="0.35">
      <c r="B267" s="9">
        <f t="shared" si="31"/>
        <v>253</v>
      </c>
      <c r="C267" s="60">
        <f t="shared" si="33"/>
        <v>22</v>
      </c>
      <c r="D267" s="61">
        <f t="shared" si="27"/>
        <v>13165152.719615713</v>
      </c>
      <c r="E267" s="62">
        <f t="shared" si="28"/>
        <v>154950.80789100332</v>
      </c>
      <c r="F267" s="103">
        <f t="shared" si="29"/>
        <v>60559.70251023228</v>
      </c>
      <c r="G267" s="103">
        <f t="shared" si="32"/>
        <v>94391.105380771041</v>
      </c>
      <c r="H267" s="10">
        <f t="shared" si="30"/>
        <v>13070761.614234941</v>
      </c>
    </row>
    <row r="268" spans="2:8" x14ac:dyDescent="0.35">
      <c r="B268" s="9">
        <f t="shared" si="31"/>
        <v>254</v>
      </c>
      <c r="C268" s="60">
        <f t="shared" si="33"/>
        <v>22</v>
      </c>
      <c r="D268" s="61">
        <f t="shared" si="27"/>
        <v>13070761.614234941</v>
      </c>
      <c r="E268" s="62">
        <f t="shared" si="28"/>
        <v>154950.80789100332</v>
      </c>
      <c r="F268" s="103">
        <f t="shared" si="29"/>
        <v>60125.503425480725</v>
      </c>
      <c r="G268" s="103">
        <f t="shared" si="32"/>
        <v>94825.304465522597</v>
      </c>
      <c r="H268" s="10">
        <f t="shared" si="30"/>
        <v>12975936.309769418</v>
      </c>
    </row>
    <row r="269" spans="2:8" x14ac:dyDescent="0.35">
      <c r="B269" s="9">
        <f t="shared" si="31"/>
        <v>255</v>
      </c>
      <c r="C269" s="60">
        <f t="shared" si="33"/>
        <v>22</v>
      </c>
      <c r="D269" s="61">
        <f t="shared" si="27"/>
        <v>12975936.309769418</v>
      </c>
      <c r="E269" s="62">
        <f t="shared" si="28"/>
        <v>154950.80789100332</v>
      </c>
      <c r="F269" s="103">
        <f t="shared" si="29"/>
        <v>59689.30702493932</v>
      </c>
      <c r="G269" s="103">
        <f t="shared" si="32"/>
        <v>95261.500866064001</v>
      </c>
      <c r="H269" s="10">
        <f t="shared" si="30"/>
        <v>12880674.808903353</v>
      </c>
    </row>
    <row r="270" spans="2:8" x14ac:dyDescent="0.35">
      <c r="B270" s="9">
        <f t="shared" si="31"/>
        <v>256</v>
      </c>
      <c r="C270" s="60">
        <f t="shared" si="33"/>
        <v>22</v>
      </c>
      <c r="D270" s="61">
        <f t="shared" si="27"/>
        <v>12880674.808903353</v>
      </c>
      <c r="E270" s="62">
        <f t="shared" si="28"/>
        <v>154950.80789100332</v>
      </c>
      <c r="F270" s="103">
        <f t="shared" si="29"/>
        <v>59251.104120955424</v>
      </c>
      <c r="G270" s="103">
        <f t="shared" si="32"/>
        <v>95699.703770047898</v>
      </c>
      <c r="H270" s="10">
        <f t="shared" si="30"/>
        <v>12784975.105133306</v>
      </c>
    </row>
    <row r="271" spans="2:8" x14ac:dyDescent="0.35">
      <c r="B271" s="9">
        <f t="shared" si="31"/>
        <v>257</v>
      </c>
      <c r="C271" s="60">
        <f t="shared" si="33"/>
        <v>22</v>
      </c>
      <c r="D271" s="61">
        <f t="shared" si="27"/>
        <v>12784975.105133306</v>
      </c>
      <c r="E271" s="62">
        <f t="shared" si="28"/>
        <v>154950.80789100332</v>
      </c>
      <c r="F271" s="103">
        <f t="shared" si="29"/>
        <v>58810.885483613209</v>
      </c>
      <c r="G271" s="103">
        <f t="shared" si="32"/>
        <v>96139.922407390113</v>
      </c>
      <c r="H271" s="10">
        <f t="shared" si="30"/>
        <v>12688835.182725916</v>
      </c>
    </row>
    <row r="272" spans="2:8" x14ac:dyDescent="0.35">
      <c r="B272" s="9">
        <f t="shared" si="31"/>
        <v>258</v>
      </c>
      <c r="C272" s="60">
        <f t="shared" si="33"/>
        <v>22</v>
      </c>
      <c r="D272" s="61">
        <f t="shared" ref="D272:D335" si="34">H271</f>
        <v>12688835.182725916</v>
      </c>
      <c r="E272" s="62">
        <f t="shared" ref="E272:E335" si="35">$D$7</f>
        <v>154950.80789100332</v>
      </c>
      <c r="F272" s="103">
        <f t="shared" ref="F272:F335" si="36">D272*($D$4/12)</f>
        <v>58368.641840539211</v>
      </c>
      <c r="G272" s="103">
        <f t="shared" si="32"/>
        <v>96582.166050464119</v>
      </c>
      <c r="H272" s="10">
        <f t="shared" ref="H272:H335" si="37">D272-G272</f>
        <v>12592253.016675452</v>
      </c>
    </row>
    <row r="273" spans="2:8" x14ac:dyDescent="0.35">
      <c r="B273" s="9">
        <f t="shared" ref="B273:B336" si="38">B272+1</f>
        <v>259</v>
      </c>
      <c r="C273" s="60">
        <f t="shared" si="33"/>
        <v>22</v>
      </c>
      <c r="D273" s="61">
        <f t="shared" si="34"/>
        <v>12592253.016675452</v>
      </c>
      <c r="E273" s="62">
        <f t="shared" si="35"/>
        <v>154950.80789100332</v>
      </c>
      <c r="F273" s="103">
        <f t="shared" si="36"/>
        <v>57924.363876707081</v>
      </c>
      <c r="G273" s="103">
        <f t="shared" ref="G273:G336" si="39">E273-F273</f>
        <v>97026.444014296241</v>
      </c>
      <c r="H273" s="10">
        <f t="shared" si="37"/>
        <v>12495226.572661156</v>
      </c>
    </row>
    <row r="274" spans="2:8" x14ac:dyDescent="0.35">
      <c r="B274" s="9">
        <f t="shared" si="38"/>
        <v>260</v>
      </c>
      <c r="C274" s="60">
        <f t="shared" si="33"/>
        <v>22</v>
      </c>
      <c r="D274" s="61">
        <f t="shared" si="34"/>
        <v>12495226.572661156</v>
      </c>
      <c r="E274" s="62">
        <f t="shared" si="35"/>
        <v>154950.80789100332</v>
      </c>
      <c r="F274" s="103">
        <f t="shared" si="36"/>
        <v>57478.042234241315</v>
      </c>
      <c r="G274" s="103">
        <f t="shared" si="39"/>
        <v>97472.765656762</v>
      </c>
      <c r="H274" s="10">
        <f t="shared" si="37"/>
        <v>12397753.807004394</v>
      </c>
    </row>
    <row r="275" spans="2:8" x14ac:dyDescent="0.35">
      <c r="B275" s="9">
        <f t="shared" si="38"/>
        <v>261</v>
      </c>
      <c r="C275" s="60">
        <f t="shared" si="33"/>
        <v>22</v>
      </c>
      <c r="D275" s="61">
        <f t="shared" si="34"/>
        <v>12397753.807004394</v>
      </c>
      <c r="E275" s="62">
        <f t="shared" si="35"/>
        <v>154950.80789100332</v>
      </c>
      <c r="F275" s="103">
        <f t="shared" si="36"/>
        <v>57029.667512220214</v>
      </c>
      <c r="G275" s="103">
        <f t="shared" si="39"/>
        <v>97921.140378783108</v>
      </c>
      <c r="H275" s="10">
        <f t="shared" si="37"/>
        <v>12299832.666625611</v>
      </c>
    </row>
    <row r="276" spans="2:8" x14ac:dyDescent="0.35">
      <c r="B276" s="9">
        <f t="shared" si="38"/>
        <v>262</v>
      </c>
      <c r="C276" s="60">
        <f t="shared" si="33"/>
        <v>22</v>
      </c>
      <c r="D276" s="61">
        <f t="shared" si="34"/>
        <v>12299832.666625611</v>
      </c>
      <c r="E276" s="62">
        <f t="shared" si="35"/>
        <v>154950.80789100332</v>
      </c>
      <c r="F276" s="103">
        <f t="shared" si="36"/>
        <v>56579.230266477811</v>
      </c>
      <c r="G276" s="103">
        <f t="shared" si="39"/>
        <v>98371.577624525511</v>
      </c>
      <c r="H276" s="10">
        <f t="shared" si="37"/>
        <v>12201461.089001086</v>
      </c>
    </row>
    <row r="277" spans="2:8" x14ac:dyDescent="0.35">
      <c r="B277" s="9">
        <f t="shared" si="38"/>
        <v>263</v>
      </c>
      <c r="C277" s="60">
        <f t="shared" si="33"/>
        <v>22</v>
      </c>
      <c r="D277" s="61">
        <f t="shared" si="34"/>
        <v>12201461.089001086</v>
      </c>
      <c r="E277" s="62">
        <f t="shared" si="35"/>
        <v>154950.80789100332</v>
      </c>
      <c r="F277" s="103">
        <f t="shared" si="36"/>
        <v>56126.721009404995</v>
      </c>
      <c r="G277" s="103">
        <f t="shared" si="39"/>
        <v>98824.086881598327</v>
      </c>
      <c r="H277" s="10">
        <f t="shared" si="37"/>
        <v>12102637.002119487</v>
      </c>
    </row>
    <row r="278" spans="2:8" x14ac:dyDescent="0.35">
      <c r="B278" s="9">
        <f t="shared" si="38"/>
        <v>264</v>
      </c>
      <c r="C278" s="60">
        <f t="shared" si="33"/>
        <v>22</v>
      </c>
      <c r="D278" s="61">
        <f t="shared" si="34"/>
        <v>12102637.002119487</v>
      </c>
      <c r="E278" s="62">
        <f t="shared" si="35"/>
        <v>154950.80789100332</v>
      </c>
      <c r="F278" s="103">
        <f t="shared" si="36"/>
        <v>55672.130209749637</v>
      </c>
      <c r="G278" s="103">
        <f t="shared" si="39"/>
        <v>99278.677681253685</v>
      </c>
      <c r="H278" s="10">
        <f t="shared" si="37"/>
        <v>12003358.324438233</v>
      </c>
    </row>
    <row r="279" spans="2:8" x14ac:dyDescent="0.35">
      <c r="B279" s="9">
        <f t="shared" si="38"/>
        <v>265</v>
      </c>
      <c r="C279" s="60">
        <f t="shared" si="33"/>
        <v>23</v>
      </c>
      <c r="D279" s="61">
        <f t="shared" si="34"/>
        <v>12003358.324438233</v>
      </c>
      <c r="E279" s="62">
        <f t="shared" si="35"/>
        <v>154950.80789100332</v>
      </c>
      <c r="F279" s="103">
        <f t="shared" si="36"/>
        <v>55215.448292415873</v>
      </c>
      <c r="G279" s="103">
        <f t="shared" si="39"/>
        <v>99735.359598587442</v>
      </c>
      <c r="H279" s="10">
        <f t="shared" si="37"/>
        <v>11903622.964839645</v>
      </c>
    </row>
    <row r="280" spans="2:8" x14ac:dyDescent="0.35">
      <c r="B280" s="9">
        <f t="shared" si="38"/>
        <v>266</v>
      </c>
      <c r="C280" s="60">
        <f t="shared" si="33"/>
        <v>23</v>
      </c>
      <c r="D280" s="61">
        <f t="shared" si="34"/>
        <v>11903622.964839645</v>
      </c>
      <c r="E280" s="62">
        <f t="shared" si="35"/>
        <v>154950.80789100332</v>
      </c>
      <c r="F280" s="103">
        <f t="shared" si="36"/>
        <v>54756.665638262362</v>
      </c>
      <c r="G280" s="103">
        <f t="shared" si="39"/>
        <v>100194.14225274096</v>
      </c>
      <c r="H280" s="10">
        <f t="shared" si="37"/>
        <v>11803428.822586903</v>
      </c>
    </row>
    <row r="281" spans="2:8" x14ac:dyDescent="0.35">
      <c r="B281" s="9">
        <f t="shared" si="38"/>
        <v>267</v>
      </c>
      <c r="C281" s="60">
        <f t="shared" si="33"/>
        <v>23</v>
      </c>
      <c r="D281" s="61">
        <f t="shared" si="34"/>
        <v>11803428.822586903</v>
      </c>
      <c r="E281" s="62">
        <f t="shared" si="35"/>
        <v>154950.80789100332</v>
      </c>
      <c r="F281" s="103">
        <f t="shared" si="36"/>
        <v>54295.772583899758</v>
      </c>
      <c r="G281" s="103">
        <f t="shared" si="39"/>
        <v>100655.03530710356</v>
      </c>
      <c r="H281" s="10">
        <f t="shared" si="37"/>
        <v>11702773.7872798</v>
      </c>
    </row>
    <row r="282" spans="2:8" x14ac:dyDescent="0.35">
      <c r="B282" s="9">
        <f t="shared" si="38"/>
        <v>268</v>
      </c>
      <c r="C282" s="60">
        <f t="shared" si="33"/>
        <v>23</v>
      </c>
      <c r="D282" s="61">
        <f t="shared" si="34"/>
        <v>11702773.7872798</v>
      </c>
      <c r="E282" s="62">
        <f t="shared" si="35"/>
        <v>154950.80789100332</v>
      </c>
      <c r="F282" s="103">
        <f t="shared" si="36"/>
        <v>53832.759421487077</v>
      </c>
      <c r="G282" s="103">
        <f t="shared" si="39"/>
        <v>101118.04846951624</v>
      </c>
      <c r="H282" s="10">
        <f t="shared" si="37"/>
        <v>11601655.738810284</v>
      </c>
    </row>
    <row r="283" spans="2:8" x14ac:dyDescent="0.35">
      <c r="B283" s="9">
        <f t="shared" si="38"/>
        <v>269</v>
      </c>
      <c r="C283" s="60">
        <f t="shared" si="33"/>
        <v>23</v>
      </c>
      <c r="D283" s="61">
        <f t="shared" si="34"/>
        <v>11601655.738810284</v>
      </c>
      <c r="E283" s="62">
        <f t="shared" si="35"/>
        <v>154950.80789100332</v>
      </c>
      <c r="F283" s="103">
        <f t="shared" si="36"/>
        <v>53367.616398527309</v>
      </c>
      <c r="G283" s="103">
        <f t="shared" si="39"/>
        <v>101583.19149247601</v>
      </c>
      <c r="H283" s="10">
        <f t="shared" si="37"/>
        <v>11500072.547317808</v>
      </c>
    </row>
    <row r="284" spans="2:8" x14ac:dyDescent="0.35">
      <c r="B284" s="9">
        <f t="shared" si="38"/>
        <v>270</v>
      </c>
      <c r="C284" s="60">
        <f t="shared" ref="C284:C347" si="40">C272+1</f>
        <v>23</v>
      </c>
      <c r="D284" s="61">
        <f t="shared" si="34"/>
        <v>11500072.547317808</v>
      </c>
      <c r="E284" s="62">
        <f t="shared" si="35"/>
        <v>154950.80789100332</v>
      </c>
      <c r="F284" s="103">
        <f t="shared" si="36"/>
        <v>52900.333717661917</v>
      </c>
      <c r="G284" s="103">
        <f t="shared" si="39"/>
        <v>102050.47417334141</v>
      </c>
      <c r="H284" s="10">
        <f t="shared" si="37"/>
        <v>11398022.073144468</v>
      </c>
    </row>
    <row r="285" spans="2:8" x14ac:dyDescent="0.35">
      <c r="B285" s="9">
        <f t="shared" si="38"/>
        <v>271</v>
      </c>
      <c r="C285" s="60">
        <f t="shared" si="40"/>
        <v>23</v>
      </c>
      <c r="D285" s="61">
        <f t="shared" si="34"/>
        <v>11398022.073144468</v>
      </c>
      <c r="E285" s="62">
        <f t="shared" si="35"/>
        <v>154950.80789100332</v>
      </c>
      <c r="F285" s="103">
        <f t="shared" si="36"/>
        <v>52430.901536464553</v>
      </c>
      <c r="G285" s="103">
        <f t="shared" si="39"/>
        <v>102519.90635453878</v>
      </c>
      <c r="H285" s="10">
        <f t="shared" si="37"/>
        <v>11295502.166789928</v>
      </c>
    </row>
    <row r="286" spans="2:8" x14ac:dyDescent="0.35">
      <c r="B286" s="9">
        <f t="shared" si="38"/>
        <v>272</v>
      </c>
      <c r="C286" s="60">
        <f t="shared" si="40"/>
        <v>23</v>
      </c>
      <c r="D286" s="61">
        <f t="shared" si="34"/>
        <v>11295502.166789928</v>
      </c>
      <c r="E286" s="62">
        <f t="shared" si="35"/>
        <v>154950.80789100332</v>
      </c>
      <c r="F286" s="103">
        <f t="shared" si="36"/>
        <v>51959.309967233668</v>
      </c>
      <c r="G286" s="103">
        <f t="shared" si="39"/>
        <v>102991.49792376965</v>
      </c>
      <c r="H286" s="10">
        <f t="shared" si="37"/>
        <v>11192510.668866159</v>
      </c>
    </row>
    <row r="287" spans="2:8" x14ac:dyDescent="0.35">
      <c r="B287" s="9">
        <f t="shared" si="38"/>
        <v>273</v>
      </c>
      <c r="C287" s="60">
        <f t="shared" si="40"/>
        <v>23</v>
      </c>
      <c r="D287" s="61">
        <f t="shared" si="34"/>
        <v>11192510.668866159</v>
      </c>
      <c r="E287" s="62">
        <f t="shared" si="35"/>
        <v>154950.80789100332</v>
      </c>
      <c r="F287" s="103">
        <f t="shared" si="36"/>
        <v>51485.549076784329</v>
      </c>
      <c r="G287" s="103">
        <f t="shared" si="39"/>
        <v>103465.25881421899</v>
      </c>
      <c r="H287" s="10">
        <f t="shared" si="37"/>
        <v>11089045.41005194</v>
      </c>
    </row>
    <row r="288" spans="2:8" x14ac:dyDescent="0.35">
      <c r="B288" s="9">
        <f t="shared" si="38"/>
        <v>274</v>
      </c>
      <c r="C288" s="60">
        <f t="shared" si="40"/>
        <v>23</v>
      </c>
      <c r="D288" s="61">
        <f t="shared" si="34"/>
        <v>11089045.41005194</v>
      </c>
      <c r="E288" s="62">
        <f t="shared" si="35"/>
        <v>154950.80789100332</v>
      </c>
      <c r="F288" s="103">
        <f t="shared" si="36"/>
        <v>51009.608886238922</v>
      </c>
      <c r="G288" s="103">
        <f t="shared" si="39"/>
        <v>103941.19900476441</v>
      </c>
      <c r="H288" s="10">
        <f t="shared" si="37"/>
        <v>10985104.211047176</v>
      </c>
    </row>
    <row r="289" spans="2:8" x14ac:dyDescent="0.35">
      <c r="B289" s="9">
        <f t="shared" si="38"/>
        <v>275</v>
      </c>
      <c r="C289" s="60">
        <f t="shared" si="40"/>
        <v>23</v>
      </c>
      <c r="D289" s="61">
        <f t="shared" si="34"/>
        <v>10985104.211047176</v>
      </c>
      <c r="E289" s="62">
        <f t="shared" si="35"/>
        <v>154950.80789100332</v>
      </c>
      <c r="F289" s="103">
        <f t="shared" si="36"/>
        <v>50531.479370817011</v>
      </c>
      <c r="G289" s="103">
        <f t="shared" si="39"/>
        <v>104419.3285201863</v>
      </c>
      <c r="H289" s="10">
        <f t="shared" si="37"/>
        <v>10880684.88252699</v>
      </c>
    </row>
    <row r="290" spans="2:8" x14ac:dyDescent="0.35">
      <c r="B290" s="9">
        <f t="shared" si="38"/>
        <v>276</v>
      </c>
      <c r="C290" s="60">
        <f t="shared" si="40"/>
        <v>23</v>
      </c>
      <c r="D290" s="61">
        <f t="shared" si="34"/>
        <v>10880684.88252699</v>
      </c>
      <c r="E290" s="62">
        <f t="shared" si="35"/>
        <v>154950.80789100332</v>
      </c>
      <c r="F290" s="103">
        <f t="shared" si="36"/>
        <v>50051.15045962415</v>
      </c>
      <c r="G290" s="103">
        <f t="shared" si="39"/>
        <v>104899.65743137916</v>
      </c>
      <c r="H290" s="10">
        <f t="shared" si="37"/>
        <v>10775785.225095611</v>
      </c>
    </row>
    <row r="291" spans="2:8" x14ac:dyDescent="0.35">
      <c r="B291" s="9">
        <f t="shared" si="38"/>
        <v>277</v>
      </c>
      <c r="C291" s="60">
        <f t="shared" si="40"/>
        <v>24</v>
      </c>
      <c r="D291" s="61">
        <f t="shared" si="34"/>
        <v>10775785.225095611</v>
      </c>
      <c r="E291" s="62">
        <f t="shared" si="35"/>
        <v>154950.80789100332</v>
      </c>
      <c r="F291" s="103">
        <f t="shared" si="36"/>
        <v>49568.612035439808</v>
      </c>
      <c r="G291" s="103">
        <f t="shared" si="39"/>
        <v>105382.19585556351</v>
      </c>
      <c r="H291" s="10">
        <f t="shared" si="37"/>
        <v>10670403.029240048</v>
      </c>
    </row>
    <row r="292" spans="2:8" x14ac:dyDescent="0.35">
      <c r="B292" s="9">
        <f t="shared" si="38"/>
        <v>278</v>
      </c>
      <c r="C292" s="60">
        <f t="shared" si="40"/>
        <v>24</v>
      </c>
      <c r="D292" s="61">
        <f t="shared" si="34"/>
        <v>10670403.029240048</v>
      </c>
      <c r="E292" s="62">
        <f t="shared" si="35"/>
        <v>154950.80789100332</v>
      </c>
      <c r="F292" s="103">
        <f t="shared" si="36"/>
        <v>49083.853934504215</v>
      </c>
      <c r="G292" s="103">
        <f t="shared" si="39"/>
        <v>105866.95395649911</v>
      </c>
      <c r="H292" s="10">
        <f t="shared" si="37"/>
        <v>10564536.075283548</v>
      </c>
    </row>
    <row r="293" spans="2:8" x14ac:dyDescent="0.35">
      <c r="B293" s="9">
        <f t="shared" si="38"/>
        <v>279</v>
      </c>
      <c r="C293" s="60">
        <f t="shared" si="40"/>
        <v>24</v>
      </c>
      <c r="D293" s="61">
        <f t="shared" si="34"/>
        <v>10564536.075283548</v>
      </c>
      <c r="E293" s="62">
        <f t="shared" si="35"/>
        <v>154950.80789100332</v>
      </c>
      <c r="F293" s="103">
        <f t="shared" si="36"/>
        <v>48596.865946304322</v>
      </c>
      <c r="G293" s="103">
        <f t="shared" si="39"/>
        <v>106353.94194469901</v>
      </c>
      <c r="H293" s="10">
        <f t="shared" si="37"/>
        <v>10458182.133338848</v>
      </c>
    </row>
    <row r="294" spans="2:8" x14ac:dyDescent="0.35">
      <c r="B294" s="9">
        <f t="shared" si="38"/>
        <v>280</v>
      </c>
      <c r="C294" s="60">
        <f t="shared" si="40"/>
        <v>24</v>
      </c>
      <c r="D294" s="61">
        <f t="shared" si="34"/>
        <v>10458182.133338848</v>
      </c>
      <c r="E294" s="62">
        <f t="shared" si="35"/>
        <v>154950.80789100332</v>
      </c>
      <c r="F294" s="103">
        <f t="shared" si="36"/>
        <v>48107.637813358699</v>
      </c>
      <c r="G294" s="103">
        <f t="shared" si="39"/>
        <v>106843.17007764462</v>
      </c>
      <c r="H294" s="10">
        <f t="shared" si="37"/>
        <v>10351338.963261204</v>
      </c>
    </row>
    <row r="295" spans="2:8" x14ac:dyDescent="0.35">
      <c r="B295" s="9">
        <f t="shared" si="38"/>
        <v>281</v>
      </c>
      <c r="C295" s="60">
        <f t="shared" si="40"/>
        <v>24</v>
      </c>
      <c r="D295" s="61">
        <f t="shared" si="34"/>
        <v>10351338.963261204</v>
      </c>
      <c r="E295" s="62">
        <f t="shared" si="35"/>
        <v>154950.80789100332</v>
      </c>
      <c r="F295" s="103">
        <f t="shared" si="36"/>
        <v>47616.15923100154</v>
      </c>
      <c r="G295" s="103">
        <f t="shared" si="39"/>
        <v>107334.64866000178</v>
      </c>
      <c r="H295" s="10">
        <f t="shared" si="37"/>
        <v>10244004.314601202</v>
      </c>
    </row>
    <row r="296" spans="2:8" x14ac:dyDescent="0.35">
      <c r="B296" s="9">
        <f t="shared" si="38"/>
        <v>282</v>
      </c>
      <c r="C296" s="60">
        <f t="shared" si="40"/>
        <v>24</v>
      </c>
      <c r="D296" s="61">
        <f t="shared" si="34"/>
        <v>10244004.314601202</v>
      </c>
      <c r="E296" s="62">
        <f t="shared" si="35"/>
        <v>154950.80789100332</v>
      </c>
      <c r="F296" s="103">
        <f t="shared" si="36"/>
        <v>47122.419847165525</v>
      </c>
      <c r="G296" s="103">
        <f t="shared" si="39"/>
        <v>107828.3880438378</v>
      </c>
      <c r="H296" s="10">
        <f t="shared" si="37"/>
        <v>10136175.926557364</v>
      </c>
    </row>
    <row r="297" spans="2:8" x14ac:dyDescent="0.35">
      <c r="B297" s="9">
        <f t="shared" si="38"/>
        <v>283</v>
      </c>
      <c r="C297" s="60">
        <f t="shared" si="40"/>
        <v>24</v>
      </c>
      <c r="D297" s="61">
        <f t="shared" si="34"/>
        <v>10136175.926557364</v>
      </c>
      <c r="E297" s="62">
        <f t="shared" si="35"/>
        <v>154950.80789100332</v>
      </c>
      <c r="F297" s="103">
        <f t="shared" si="36"/>
        <v>46626.40926216387</v>
      </c>
      <c r="G297" s="103">
        <f t="shared" si="39"/>
        <v>108324.39862883945</v>
      </c>
      <c r="H297" s="10">
        <f t="shared" si="37"/>
        <v>10027851.527928524</v>
      </c>
    </row>
    <row r="298" spans="2:8" x14ac:dyDescent="0.35">
      <c r="B298" s="9">
        <f t="shared" si="38"/>
        <v>284</v>
      </c>
      <c r="C298" s="60">
        <f t="shared" si="40"/>
        <v>24</v>
      </c>
      <c r="D298" s="61">
        <f t="shared" si="34"/>
        <v>10027851.527928524</v>
      </c>
      <c r="E298" s="62">
        <f t="shared" si="35"/>
        <v>154950.80789100332</v>
      </c>
      <c r="F298" s="103">
        <f t="shared" si="36"/>
        <v>46128.117028471206</v>
      </c>
      <c r="G298" s="103">
        <f t="shared" si="39"/>
        <v>108822.69086253212</v>
      </c>
      <c r="H298" s="10">
        <f t="shared" si="37"/>
        <v>9919028.837065991</v>
      </c>
    </row>
    <row r="299" spans="2:8" x14ac:dyDescent="0.35">
      <c r="B299" s="9">
        <f t="shared" si="38"/>
        <v>285</v>
      </c>
      <c r="C299" s="60">
        <f t="shared" si="40"/>
        <v>24</v>
      </c>
      <c r="D299" s="61">
        <f t="shared" si="34"/>
        <v>9919028.837065991</v>
      </c>
      <c r="E299" s="62">
        <f t="shared" si="35"/>
        <v>154950.80789100332</v>
      </c>
      <c r="F299" s="103">
        <f t="shared" si="36"/>
        <v>45627.532650503555</v>
      </c>
      <c r="G299" s="103">
        <f t="shared" si="39"/>
        <v>109323.27524049976</v>
      </c>
      <c r="H299" s="10">
        <f t="shared" si="37"/>
        <v>9809705.5618254915</v>
      </c>
    </row>
    <row r="300" spans="2:8" x14ac:dyDescent="0.35">
      <c r="B300" s="9">
        <f t="shared" si="38"/>
        <v>286</v>
      </c>
      <c r="C300" s="60">
        <f t="shared" si="40"/>
        <v>24</v>
      </c>
      <c r="D300" s="61">
        <f t="shared" si="34"/>
        <v>9809705.5618254915</v>
      </c>
      <c r="E300" s="62">
        <f t="shared" si="35"/>
        <v>154950.80789100332</v>
      </c>
      <c r="F300" s="103">
        <f t="shared" si="36"/>
        <v>45124.645584397258</v>
      </c>
      <c r="G300" s="103">
        <f t="shared" si="39"/>
        <v>109826.16230660607</v>
      </c>
      <c r="H300" s="10">
        <f t="shared" si="37"/>
        <v>9699879.3995188847</v>
      </c>
    </row>
    <row r="301" spans="2:8" x14ac:dyDescent="0.35">
      <c r="B301" s="9">
        <f t="shared" si="38"/>
        <v>287</v>
      </c>
      <c r="C301" s="60">
        <f t="shared" si="40"/>
        <v>24</v>
      </c>
      <c r="D301" s="61">
        <f t="shared" si="34"/>
        <v>9699879.3995188847</v>
      </c>
      <c r="E301" s="62">
        <f t="shared" si="35"/>
        <v>154950.80789100332</v>
      </c>
      <c r="F301" s="103">
        <f t="shared" si="36"/>
        <v>44619.445237786866</v>
      </c>
      <c r="G301" s="103">
        <f t="shared" si="39"/>
        <v>110331.36265321646</v>
      </c>
      <c r="H301" s="10">
        <f t="shared" si="37"/>
        <v>9589548.0368656684</v>
      </c>
    </row>
    <row r="302" spans="2:8" x14ac:dyDescent="0.35">
      <c r="B302" s="9">
        <f t="shared" si="38"/>
        <v>288</v>
      </c>
      <c r="C302" s="60">
        <f t="shared" si="40"/>
        <v>24</v>
      </c>
      <c r="D302" s="61">
        <f t="shared" si="34"/>
        <v>9589548.0368656684</v>
      </c>
      <c r="E302" s="62">
        <f t="shared" si="35"/>
        <v>154950.80789100332</v>
      </c>
      <c r="F302" s="103">
        <f t="shared" si="36"/>
        <v>44111.920969582075</v>
      </c>
      <c r="G302" s="103">
        <f t="shared" si="39"/>
        <v>110838.88692142125</v>
      </c>
      <c r="H302" s="10">
        <f t="shared" si="37"/>
        <v>9478709.1499442477</v>
      </c>
    </row>
    <row r="303" spans="2:8" x14ac:dyDescent="0.35">
      <c r="B303" s="9">
        <f t="shared" si="38"/>
        <v>289</v>
      </c>
      <c r="C303" s="60">
        <f t="shared" si="40"/>
        <v>25</v>
      </c>
      <c r="D303" s="61">
        <f t="shared" si="34"/>
        <v>9478709.1499442477</v>
      </c>
      <c r="E303" s="62">
        <f t="shared" si="35"/>
        <v>154950.80789100332</v>
      </c>
      <c r="F303" s="103">
        <f t="shared" si="36"/>
        <v>43602.062089743536</v>
      </c>
      <c r="G303" s="103">
        <f t="shared" si="39"/>
        <v>111348.74580125979</v>
      </c>
      <c r="H303" s="10">
        <f t="shared" si="37"/>
        <v>9367360.404142987</v>
      </c>
    </row>
    <row r="304" spans="2:8" x14ac:dyDescent="0.35">
      <c r="B304" s="9">
        <f t="shared" si="38"/>
        <v>290</v>
      </c>
      <c r="C304" s="60">
        <f t="shared" si="40"/>
        <v>25</v>
      </c>
      <c r="D304" s="61">
        <f t="shared" si="34"/>
        <v>9367360.404142987</v>
      </c>
      <c r="E304" s="62">
        <f t="shared" si="35"/>
        <v>154950.80789100332</v>
      </c>
      <c r="F304" s="103">
        <f t="shared" si="36"/>
        <v>43089.857859057738</v>
      </c>
      <c r="G304" s="103">
        <f t="shared" si="39"/>
        <v>111860.95003194558</v>
      </c>
      <c r="H304" s="10">
        <f t="shared" si="37"/>
        <v>9255499.4541110415</v>
      </c>
    </row>
    <row r="305" spans="2:8" x14ac:dyDescent="0.35">
      <c r="B305" s="9">
        <f t="shared" si="38"/>
        <v>291</v>
      </c>
      <c r="C305" s="60">
        <f t="shared" si="40"/>
        <v>25</v>
      </c>
      <c r="D305" s="61">
        <f t="shared" si="34"/>
        <v>9255499.4541110415</v>
      </c>
      <c r="E305" s="62">
        <f t="shared" si="35"/>
        <v>154950.80789100332</v>
      </c>
      <c r="F305" s="103">
        <f t="shared" si="36"/>
        <v>42575.297488910794</v>
      </c>
      <c r="G305" s="103">
        <f t="shared" si="39"/>
        <v>112375.51040209254</v>
      </c>
      <c r="H305" s="10">
        <f t="shared" si="37"/>
        <v>9143123.9437089488</v>
      </c>
    </row>
    <row r="306" spans="2:8" x14ac:dyDescent="0.35">
      <c r="B306" s="9">
        <f t="shared" si="38"/>
        <v>292</v>
      </c>
      <c r="C306" s="60">
        <f t="shared" si="40"/>
        <v>25</v>
      </c>
      <c r="D306" s="61">
        <f t="shared" si="34"/>
        <v>9143123.9437089488</v>
      </c>
      <c r="E306" s="62">
        <f t="shared" si="35"/>
        <v>154950.80789100332</v>
      </c>
      <c r="F306" s="103">
        <f t="shared" si="36"/>
        <v>42058.370141061161</v>
      </c>
      <c r="G306" s="103">
        <f t="shared" si="39"/>
        <v>112892.43774994215</v>
      </c>
      <c r="H306" s="10">
        <f t="shared" si="37"/>
        <v>9030231.505959006</v>
      </c>
    </row>
    <row r="307" spans="2:8" x14ac:dyDescent="0.35">
      <c r="B307" s="9">
        <f t="shared" si="38"/>
        <v>293</v>
      </c>
      <c r="C307" s="60">
        <f t="shared" si="40"/>
        <v>25</v>
      </c>
      <c r="D307" s="61">
        <f t="shared" si="34"/>
        <v>9030231.505959006</v>
      </c>
      <c r="E307" s="62">
        <f t="shared" si="35"/>
        <v>154950.80789100332</v>
      </c>
      <c r="F307" s="103">
        <f t="shared" si="36"/>
        <v>41539.064927411426</v>
      </c>
      <c r="G307" s="103">
        <f t="shared" si="39"/>
        <v>113411.7429635919</v>
      </c>
      <c r="H307" s="10">
        <f t="shared" si="37"/>
        <v>8916819.7629954144</v>
      </c>
    </row>
    <row r="308" spans="2:8" x14ac:dyDescent="0.35">
      <c r="B308" s="9">
        <f t="shared" si="38"/>
        <v>294</v>
      </c>
      <c r="C308" s="60">
        <f t="shared" si="40"/>
        <v>25</v>
      </c>
      <c r="D308" s="61">
        <f t="shared" si="34"/>
        <v>8916819.7629954144</v>
      </c>
      <c r="E308" s="62">
        <f t="shared" si="35"/>
        <v>154950.80789100332</v>
      </c>
      <c r="F308" s="103">
        <f t="shared" si="36"/>
        <v>41017.370909778903</v>
      </c>
      <c r="G308" s="103">
        <f t="shared" si="39"/>
        <v>113933.43698122443</v>
      </c>
      <c r="H308" s="10">
        <f t="shared" si="37"/>
        <v>8802886.3260141909</v>
      </c>
    </row>
    <row r="309" spans="2:8" x14ac:dyDescent="0.35">
      <c r="B309" s="9">
        <f t="shared" si="38"/>
        <v>295</v>
      </c>
      <c r="C309" s="60">
        <f t="shared" si="40"/>
        <v>25</v>
      </c>
      <c r="D309" s="61">
        <f t="shared" si="34"/>
        <v>8802886.3260141909</v>
      </c>
      <c r="E309" s="62">
        <f t="shared" si="35"/>
        <v>154950.80789100332</v>
      </c>
      <c r="F309" s="103">
        <f t="shared" si="36"/>
        <v>40493.277099665276</v>
      </c>
      <c r="G309" s="103">
        <f t="shared" si="39"/>
        <v>114457.53079133804</v>
      </c>
      <c r="H309" s="10">
        <f t="shared" si="37"/>
        <v>8688428.7952228524</v>
      </c>
    </row>
    <row r="310" spans="2:8" x14ac:dyDescent="0.35">
      <c r="B310" s="9">
        <f t="shared" si="38"/>
        <v>296</v>
      </c>
      <c r="C310" s="60">
        <f t="shared" si="40"/>
        <v>25</v>
      </c>
      <c r="D310" s="61">
        <f t="shared" si="34"/>
        <v>8688428.7952228524</v>
      </c>
      <c r="E310" s="62">
        <f t="shared" si="35"/>
        <v>154950.80789100332</v>
      </c>
      <c r="F310" s="103">
        <f t="shared" si="36"/>
        <v>39966.772458025123</v>
      </c>
      <c r="G310" s="103">
        <f t="shared" si="39"/>
        <v>114984.0354329782</v>
      </c>
      <c r="H310" s="10">
        <f t="shared" si="37"/>
        <v>8573444.7597898748</v>
      </c>
    </row>
    <row r="311" spans="2:8" x14ac:dyDescent="0.35">
      <c r="B311" s="9">
        <f t="shared" si="38"/>
        <v>297</v>
      </c>
      <c r="C311" s="60">
        <f t="shared" si="40"/>
        <v>25</v>
      </c>
      <c r="D311" s="61">
        <f t="shared" si="34"/>
        <v>8573444.7597898748</v>
      </c>
      <c r="E311" s="62">
        <f t="shared" si="35"/>
        <v>154950.80789100332</v>
      </c>
      <c r="F311" s="103">
        <f t="shared" si="36"/>
        <v>39437.845895033424</v>
      </c>
      <c r="G311" s="103">
        <f t="shared" si="39"/>
        <v>115512.9619959699</v>
      </c>
      <c r="H311" s="10">
        <f t="shared" si="37"/>
        <v>8457931.7977939043</v>
      </c>
    </row>
    <row r="312" spans="2:8" x14ac:dyDescent="0.35">
      <c r="B312" s="9">
        <f t="shared" si="38"/>
        <v>298</v>
      </c>
      <c r="C312" s="60">
        <f t="shared" si="40"/>
        <v>25</v>
      </c>
      <c r="D312" s="61">
        <f t="shared" si="34"/>
        <v>8457931.7977939043</v>
      </c>
      <c r="E312" s="62">
        <f t="shared" si="35"/>
        <v>154950.80789100332</v>
      </c>
      <c r="F312" s="103">
        <f t="shared" si="36"/>
        <v>38906.486269851957</v>
      </c>
      <c r="G312" s="103">
        <f t="shared" si="39"/>
        <v>116044.32162115136</v>
      </c>
      <c r="H312" s="10">
        <f t="shared" si="37"/>
        <v>8341887.4761727527</v>
      </c>
    </row>
    <row r="313" spans="2:8" x14ac:dyDescent="0.35">
      <c r="B313" s="9">
        <f t="shared" si="38"/>
        <v>299</v>
      </c>
      <c r="C313" s="60">
        <f t="shared" si="40"/>
        <v>25</v>
      </c>
      <c r="D313" s="61">
        <f t="shared" si="34"/>
        <v>8341887.4761727527</v>
      </c>
      <c r="E313" s="62">
        <f t="shared" si="35"/>
        <v>154950.80789100332</v>
      </c>
      <c r="F313" s="103">
        <f t="shared" si="36"/>
        <v>38372.682390394664</v>
      </c>
      <c r="G313" s="103">
        <f t="shared" si="39"/>
        <v>116578.12550060866</v>
      </c>
      <c r="H313" s="10">
        <f t="shared" si="37"/>
        <v>8225309.3506721444</v>
      </c>
    </row>
    <row r="314" spans="2:8" x14ac:dyDescent="0.35">
      <c r="B314" s="9">
        <f t="shared" si="38"/>
        <v>300</v>
      </c>
      <c r="C314" s="60">
        <f t="shared" si="40"/>
        <v>25</v>
      </c>
      <c r="D314" s="61">
        <f t="shared" si="34"/>
        <v>8225309.3506721444</v>
      </c>
      <c r="E314" s="62">
        <f t="shared" si="35"/>
        <v>154950.80789100332</v>
      </c>
      <c r="F314" s="103">
        <f t="shared" si="36"/>
        <v>37836.423013091866</v>
      </c>
      <c r="G314" s="103">
        <f t="shared" si="39"/>
        <v>117114.38487791145</v>
      </c>
      <c r="H314" s="10">
        <f t="shared" si="37"/>
        <v>8108194.9657942327</v>
      </c>
    </row>
    <row r="315" spans="2:8" x14ac:dyDescent="0.35">
      <c r="B315" s="9">
        <f t="shared" si="38"/>
        <v>301</v>
      </c>
      <c r="C315" s="60">
        <f t="shared" si="40"/>
        <v>26</v>
      </c>
      <c r="D315" s="61">
        <f t="shared" si="34"/>
        <v>8108194.9657942327</v>
      </c>
      <c r="E315" s="62">
        <f t="shared" si="35"/>
        <v>154950.80789100332</v>
      </c>
      <c r="F315" s="103">
        <f t="shared" si="36"/>
        <v>37297.696842653473</v>
      </c>
      <c r="G315" s="103">
        <f t="shared" si="39"/>
        <v>117653.11104834985</v>
      </c>
      <c r="H315" s="10">
        <f t="shared" si="37"/>
        <v>7990541.8547458826</v>
      </c>
    </row>
    <row r="316" spans="2:8" x14ac:dyDescent="0.35">
      <c r="B316" s="9">
        <f t="shared" si="38"/>
        <v>302</v>
      </c>
      <c r="C316" s="60">
        <f t="shared" si="40"/>
        <v>26</v>
      </c>
      <c r="D316" s="61">
        <f t="shared" si="34"/>
        <v>7990541.8547458826</v>
      </c>
      <c r="E316" s="62">
        <f t="shared" si="35"/>
        <v>154950.80789100332</v>
      </c>
      <c r="F316" s="103">
        <f t="shared" si="36"/>
        <v>36756.492531831056</v>
      </c>
      <c r="G316" s="103">
        <f t="shared" si="39"/>
        <v>118194.31535917227</v>
      </c>
      <c r="H316" s="10">
        <f t="shared" si="37"/>
        <v>7872347.5393867102</v>
      </c>
    </row>
    <row r="317" spans="2:8" x14ac:dyDescent="0.35">
      <c r="B317" s="9">
        <f t="shared" si="38"/>
        <v>303</v>
      </c>
      <c r="C317" s="60">
        <f t="shared" si="40"/>
        <v>26</v>
      </c>
      <c r="D317" s="61">
        <f t="shared" si="34"/>
        <v>7872347.5393867102</v>
      </c>
      <c r="E317" s="62">
        <f t="shared" si="35"/>
        <v>154950.80789100332</v>
      </c>
      <c r="F317" s="103">
        <f t="shared" si="36"/>
        <v>36212.798681178865</v>
      </c>
      <c r="G317" s="103">
        <f t="shared" si="39"/>
        <v>118738.00920982446</v>
      </c>
      <c r="H317" s="10">
        <f t="shared" si="37"/>
        <v>7753609.5301768854</v>
      </c>
    </row>
    <row r="318" spans="2:8" x14ac:dyDescent="0.35">
      <c r="B318" s="9">
        <f t="shared" si="38"/>
        <v>304</v>
      </c>
      <c r="C318" s="60">
        <f t="shared" si="40"/>
        <v>26</v>
      </c>
      <c r="D318" s="61">
        <f t="shared" si="34"/>
        <v>7753609.5301768854</v>
      </c>
      <c r="E318" s="62">
        <f t="shared" si="35"/>
        <v>154950.80789100332</v>
      </c>
      <c r="F318" s="103">
        <f t="shared" si="36"/>
        <v>35666.603838813673</v>
      </c>
      <c r="G318" s="103">
        <f t="shared" si="39"/>
        <v>119284.20405218966</v>
      </c>
      <c r="H318" s="10">
        <f t="shared" si="37"/>
        <v>7634325.3261246961</v>
      </c>
    </row>
    <row r="319" spans="2:8" x14ac:dyDescent="0.35">
      <c r="B319" s="9">
        <f t="shared" si="38"/>
        <v>305</v>
      </c>
      <c r="C319" s="60">
        <f t="shared" si="40"/>
        <v>26</v>
      </c>
      <c r="D319" s="61">
        <f t="shared" si="34"/>
        <v>7634325.3261246961</v>
      </c>
      <c r="E319" s="62">
        <f t="shared" si="35"/>
        <v>154950.80789100332</v>
      </c>
      <c r="F319" s="103">
        <f t="shared" si="36"/>
        <v>35117.8965001736</v>
      </c>
      <c r="G319" s="103">
        <f t="shared" si="39"/>
        <v>119832.91139082971</v>
      </c>
      <c r="H319" s="10">
        <f t="shared" si="37"/>
        <v>7514492.4147338662</v>
      </c>
    </row>
    <row r="320" spans="2:8" x14ac:dyDescent="0.35">
      <c r="B320" s="9">
        <f t="shared" si="38"/>
        <v>306</v>
      </c>
      <c r="C320" s="60">
        <f t="shared" si="40"/>
        <v>26</v>
      </c>
      <c r="D320" s="61">
        <f t="shared" si="34"/>
        <v>7514492.4147338662</v>
      </c>
      <c r="E320" s="62">
        <f t="shared" si="35"/>
        <v>154950.80789100332</v>
      </c>
      <c r="F320" s="103">
        <f t="shared" si="36"/>
        <v>34566.665107775785</v>
      </c>
      <c r="G320" s="103">
        <f t="shared" si="39"/>
        <v>120384.14278322754</v>
      </c>
      <c r="H320" s="10">
        <f t="shared" si="37"/>
        <v>7394108.2719506389</v>
      </c>
    </row>
    <row r="321" spans="2:8" x14ac:dyDescent="0.35">
      <c r="B321" s="9">
        <f t="shared" si="38"/>
        <v>307</v>
      </c>
      <c r="C321" s="60">
        <f t="shared" si="40"/>
        <v>26</v>
      </c>
      <c r="D321" s="61">
        <f t="shared" si="34"/>
        <v>7394108.2719506389</v>
      </c>
      <c r="E321" s="62">
        <f t="shared" si="35"/>
        <v>154950.80789100332</v>
      </c>
      <c r="F321" s="103">
        <f t="shared" si="36"/>
        <v>34012.898050972937</v>
      </c>
      <c r="G321" s="103">
        <f t="shared" si="39"/>
        <v>120937.90984003039</v>
      </c>
      <c r="H321" s="10">
        <f t="shared" si="37"/>
        <v>7273170.3621106083</v>
      </c>
    </row>
    <row r="322" spans="2:8" x14ac:dyDescent="0.35">
      <c r="B322" s="9">
        <f t="shared" si="38"/>
        <v>308</v>
      </c>
      <c r="C322" s="60">
        <f t="shared" si="40"/>
        <v>26</v>
      </c>
      <c r="D322" s="61">
        <f t="shared" si="34"/>
        <v>7273170.3621106083</v>
      </c>
      <c r="E322" s="62">
        <f t="shared" si="35"/>
        <v>154950.80789100332</v>
      </c>
      <c r="F322" s="103">
        <f t="shared" si="36"/>
        <v>33456.5836657088</v>
      </c>
      <c r="G322" s="103">
        <f t="shared" si="39"/>
        <v>121494.22422529451</v>
      </c>
      <c r="H322" s="10">
        <f t="shared" si="37"/>
        <v>7151676.1378853135</v>
      </c>
    </row>
    <row r="323" spans="2:8" x14ac:dyDescent="0.35">
      <c r="B323" s="9">
        <f t="shared" si="38"/>
        <v>309</v>
      </c>
      <c r="C323" s="60">
        <f t="shared" si="40"/>
        <v>26</v>
      </c>
      <c r="D323" s="61">
        <f t="shared" si="34"/>
        <v>7151676.1378853135</v>
      </c>
      <c r="E323" s="62">
        <f t="shared" si="35"/>
        <v>154950.80789100332</v>
      </c>
      <c r="F323" s="103">
        <f t="shared" si="36"/>
        <v>32897.710234272439</v>
      </c>
      <c r="G323" s="103">
        <f t="shared" si="39"/>
        <v>122053.09765673088</v>
      </c>
      <c r="H323" s="10">
        <f t="shared" si="37"/>
        <v>7029623.0402285829</v>
      </c>
    </row>
    <row r="324" spans="2:8" x14ac:dyDescent="0.35">
      <c r="B324" s="9">
        <f t="shared" si="38"/>
        <v>310</v>
      </c>
      <c r="C324" s="60">
        <f t="shared" si="40"/>
        <v>26</v>
      </c>
      <c r="D324" s="61">
        <f t="shared" si="34"/>
        <v>7029623.0402285829</v>
      </c>
      <c r="E324" s="62">
        <f t="shared" si="35"/>
        <v>154950.80789100332</v>
      </c>
      <c r="F324" s="103">
        <f t="shared" si="36"/>
        <v>32336.265985051479</v>
      </c>
      <c r="G324" s="103">
        <f t="shared" si="39"/>
        <v>122614.54190595185</v>
      </c>
      <c r="H324" s="10">
        <f t="shared" si="37"/>
        <v>6907008.4983226312</v>
      </c>
    </row>
    <row r="325" spans="2:8" x14ac:dyDescent="0.35">
      <c r="B325" s="9">
        <f t="shared" si="38"/>
        <v>311</v>
      </c>
      <c r="C325" s="60">
        <f t="shared" si="40"/>
        <v>26</v>
      </c>
      <c r="D325" s="61">
        <f t="shared" si="34"/>
        <v>6907008.4983226312</v>
      </c>
      <c r="E325" s="62">
        <f t="shared" si="35"/>
        <v>154950.80789100332</v>
      </c>
      <c r="F325" s="103">
        <f t="shared" si="36"/>
        <v>31772.239092284104</v>
      </c>
      <c r="G325" s="103">
        <f t="shared" si="39"/>
        <v>123178.56879871922</v>
      </c>
      <c r="H325" s="10">
        <f t="shared" si="37"/>
        <v>6783829.9295239123</v>
      </c>
    </row>
    <row r="326" spans="2:8" x14ac:dyDescent="0.35">
      <c r="B326" s="9">
        <f t="shared" si="38"/>
        <v>312</v>
      </c>
      <c r="C326" s="60">
        <f t="shared" si="40"/>
        <v>26</v>
      </c>
      <c r="D326" s="61">
        <f t="shared" si="34"/>
        <v>6783829.9295239123</v>
      </c>
      <c r="E326" s="62">
        <f t="shared" si="35"/>
        <v>154950.80789100332</v>
      </c>
      <c r="F326" s="103">
        <f t="shared" si="36"/>
        <v>31205.617675809997</v>
      </c>
      <c r="G326" s="103">
        <f t="shared" si="39"/>
        <v>123745.19021519332</v>
      </c>
      <c r="H326" s="10">
        <f t="shared" si="37"/>
        <v>6660084.7393087186</v>
      </c>
    </row>
    <row r="327" spans="2:8" x14ac:dyDescent="0.35">
      <c r="B327" s="9">
        <f t="shared" si="38"/>
        <v>313</v>
      </c>
      <c r="C327" s="60">
        <f t="shared" si="40"/>
        <v>27</v>
      </c>
      <c r="D327" s="61">
        <f t="shared" si="34"/>
        <v>6660084.7393087186</v>
      </c>
      <c r="E327" s="62">
        <f t="shared" si="35"/>
        <v>154950.80789100332</v>
      </c>
      <c r="F327" s="103">
        <f t="shared" si="36"/>
        <v>30636.389800820107</v>
      </c>
      <c r="G327" s="103">
        <f t="shared" si="39"/>
        <v>124314.41809018322</v>
      </c>
      <c r="H327" s="10">
        <f t="shared" si="37"/>
        <v>6535770.3212185353</v>
      </c>
    </row>
    <row r="328" spans="2:8" x14ac:dyDescent="0.35">
      <c r="B328" s="9">
        <f t="shared" si="38"/>
        <v>314</v>
      </c>
      <c r="C328" s="60">
        <f t="shared" si="40"/>
        <v>27</v>
      </c>
      <c r="D328" s="61">
        <f t="shared" si="34"/>
        <v>6535770.3212185353</v>
      </c>
      <c r="E328" s="62">
        <f t="shared" si="35"/>
        <v>154950.80789100332</v>
      </c>
      <c r="F328" s="103">
        <f t="shared" si="36"/>
        <v>30064.543477605261</v>
      </c>
      <c r="G328" s="103">
        <f t="shared" si="39"/>
        <v>124886.26441339806</v>
      </c>
      <c r="H328" s="10">
        <f t="shared" si="37"/>
        <v>6410884.0568051375</v>
      </c>
    </row>
    <row r="329" spans="2:8" x14ac:dyDescent="0.35">
      <c r="B329" s="9">
        <f t="shared" si="38"/>
        <v>315</v>
      </c>
      <c r="C329" s="60">
        <f t="shared" si="40"/>
        <v>27</v>
      </c>
      <c r="D329" s="61">
        <f t="shared" si="34"/>
        <v>6410884.0568051375</v>
      </c>
      <c r="E329" s="62">
        <f t="shared" si="35"/>
        <v>154950.80789100332</v>
      </c>
      <c r="F329" s="103">
        <f t="shared" si="36"/>
        <v>29490.066661303634</v>
      </c>
      <c r="G329" s="103">
        <f t="shared" si="39"/>
        <v>125460.74122969969</v>
      </c>
      <c r="H329" s="10">
        <f t="shared" si="37"/>
        <v>6285423.3155754376</v>
      </c>
    </row>
    <row r="330" spans="2:8" x14ac:dyDescent="0.35">
      <c r="B330" s="9">
        <f t="shared" si="38"/>
        <v>316</v>
      </c>
      <c r="C330" s="60">
        <f t="shared" si="40"/>
        <v>27</v>
      </c>
      <c r="D330" s="61">
        <f t="shared" si="34"/>
        <v>6285423.3155754376</v>
      </c>
      <c r="E330" s="62">
        <f t="shared" si="35"/>
        <v>154950.80789100332</v>
      </c>
      <c r="F330" s="103">
        <f t="shared" si="36"/>
        <v>28912.947251647012</v>
      </c>
      <c r="G330" s="103">
        <f t="shared" si="39"/>
        <v>126037.86063935631</v>
      </c>
      <c r="H330" s="10">
        <f t="shared" si="37"/>
        <v>6159385.4549360815</v>
      </c>
    </row>
    <row r="331" spans="2:8" x14ac:dyDescent="0.35">
      <c r="B331" s="9">
        <f t="shared" si="38"/>
        <v>317</v>
      </c>
      <c r="C331" s="60">
        <f t="shared" si="40"/>
        <v>27</v>
      </c>
      <c r="D331" s="61">
        <f t="shared" si="34"/>
        <v>6159385.4549360815</v>
      </c>
      <c r="E331" s="62">
        <f t="shared" si="35"/>
        <v>154950.80789100332</v>
      </c>
      <c r="F331" s="103">
        <f t="shared" si="36"/>
        <v>28333.173092705976</v>
      </c>
      <c r="G331" s="103">
        <f t="shared" si="39"/>
        <v>126617.63479829734</v>
      </c>
      <c r="H331" s="10">
        <f t="shared" si="37"/>
        <v>6032767.8201377839</v>
      </c>
    </row>
    <row r="332" spans="2:8" x14ac:dyDescent="0.35">
      <c r="B332" s="9">
        <f t="shared" si="38"/>
        <v>318</v>
      </c>
      <c r="C332" s="60">
        <f t="shared" si="40"/>
        <v>27</v>
      </c>
      <c r="D332" s="61">
        <f t="shared" si="34"/>
        <v>6032767.8201377839</v>
      </c>
      <c r="E332" s="62">
        <f t="shared" si="35"/>
        <v>154950.80789100332</v>
      </c>
      <c r="F332" s="103">
        <f t="shared" si="36"/>
        <v>27750.731972633806</v>
      </c>
      <c r="G332" s="103">
        <f t="shared" si="39"/>
        <v>127200.07591836952</v>
      </c>
      <c r="H332" s="10">
        <f t="shared" si="37"/>
        <v>5905567.744219414</v>
      </c>
    </row>
    <row r="333" spans="2:8" x14ac:dyDescent="0.35">
      <c r="B333" s="9">
        <f t="shared" si="38"/>
        <v>319</v>
      </c>
      <c r="C333" s="60">
        <f t="shared" si="40"/>
        <v>27</v>
      </c>
      <c r="D333" s="61">
        <f t="shared" si="34"/>
        <v>5905567.744219414</v>
      </c>
      <c r="E333" s="62">
        <f t="shared" si="35"/>
        <v>154950.80789100332</v>
      </c>
      <c r="F333" s="103">
        <f t="shared" si="36"/>
        <v>27165.611623409302</v>
      </c>
      <c r="G333" s="103">
        <f t="shared" si="39"/>
        <v>127785.19626759402</v>
      </c>
      <c r="H333" s="10">
        <f t="shared" si="37"/>
        <v>5777782.5479518203</v>
      </c>
    </row>
    <row r="334" spans="2:8" x14ac:dyDescent="0.35">
      <c r="B334" s="9">
        <f t="shared" si="38"/>
        <v>320</v>
      </c>
      <c r="C334" s="60">
        <f t="shared" si="40"/>
        <v>27</v>
      </c>
      <c r="D334" s="61">
        <f t="shared" si="34"/>
        <v>5777782.5479518203</v>
      </c>
      <c r="E334" s="62">
        <f t="shared" si="35"/>
        <v>154950.80789100332</v>
      </c>
      <c r="F334" s="103">
        <f t="shared" si="36"/>
        <v>26577.799720578372</v>
      </c>
      <c r="G334" s="103">
        <f t="shared" si="39"/>
        <v>128373.00817042495</v>
      </c>
      <c r="H334" s="10">
        <f t="shared" si="37"/>
        <v>5649409.5397813953</v>
      </c>
    </row>
    <row r="335" spans="2:8" x14ac:dyDescent="0.35">
      <c r="B335" s="9">
        <f t="shared" si="38"/>
        <v>321</v>
      </c>
      <c r="C335" s="60">
        <f t="shared" si="40"/>
        <v>27</v>
      </c>
      <c r="D335" s="61">
        <f t="shared" si="34"/>
        <v>5649409.5397813953</v>
      </c>
      <c r="E335" s="62">
        <f t="shared" si="35"/>
        <v>154950.80789100332</v>
      </c>
      <c r="F335" s="103">
        <f t="shared" si="36"/>
        <v>25987.283882994419</v>
      </c>
      <c r="G335" s="103">
        <f t="shared" si="39"/>
        <v>128963.5240080089</v>
      </c>
      <c r="H335" s="10">
        <f t="shared" si="37"/>
        <v>5520446.0157733867</v>
      </c>
    </row>
    <row r="336" spans="2:8" x14ac:dyDescent="0.35">
      <c r="B336" s="9">
        <f t="shared" si="38"/>
        <v>322</v>
      </c>
      <c r="C336" s="60">
        <f t="shared" si="40"/>
        <v>27</v>
      </c>
      <c r="D336" s="61">
        <f t="shared" ref="D336:D374" si="41">H335</f>
        <v>5520446.0157733867</v>
      </c>
      <c r="E336" s="62">
        <f t="shared" ref="E336:E374" si="42">$D$7</f>
        <v>154950.80789100332</v>
      </c>
      <c r="F336" s="103">
        <f t="shared" ref="F336:F374" si="43">D336*($D$4/12)</f>
        <v>25394.05167255758</v>
      </c>
      <c r="G336" s="103">
        <f t="shared" si="39"/>
        <v>129556.75621844575</v>
      </c>
      <c r="H336" s="10">
        <f t="shared" ref="H336:H374" si="44">D336-G336</f>
        <v>5390889.2595549412</v>
      </c>
    </row>
    <row r="337" spans="2:8" x14ac:dyDescent="0.35">
      <c r="B337" s="9">
        <f t="shared" ref="B337:B374" si="45">B336+1</f>
        <v>323</v>
      </c>
      <c r="C337" s="60">
        <f t="shared" si="40"/>
        <v>27</v>
      </c>
      <c r="D337" s="61">
        <f t="shared" si="41"/>
        <v>5390889.2595549412</v>
      </c>
      <c r="E337" s="62">
        <f t="shared" si="42"/>
        <v>154950.80789100332</v>
      </c>
      <c r="F337" s="103">
        <f t="shared" si="43"/>
        <v>24798.090593952729</v>
      </c>
      <c r="G337" s="103">
        <f t="shared" ref="G337:G374" si="46">E337-F337</f>
        <v>130152.71729705059</v>
      </c>
      <c r="H337" s="10">
        <f t="shared" si="44"/>
        <v>5260736.542257891</v>
      </c>
    </row>
    <row r="338" spans="2:8" x14ac:dyDescent="0.35">
      <c r="B338" s="9">
        <f t="shared" si="45"/>
        <v>324</v>
      </c>
      <c r="C338" s="60">
        <f t="shared" si="40"/>
        <v>27</v>
      </c>
      <c r="D338" s="61">
        <f t="shared" si="41"/>
        <v>5260736.542257891</v>
      </c>
      <c r="E338" s="62">
        <f t="shared" si="42"/>
        <v>154950.80789100332</v>
      </c>
      <c r="F338" s="103">
        <f t="shared" si="43"/>
        <v>24199.388094386297</v>
      </c>
      <c r="G338" s="103">
        <f t="shared" si="46"/>
        <v>130751.41979661703</v>
      </c>
      <c r="H338" s="10">
        <f t="shared" si="44"/>
        <v>5129985.1224612743</v>
      </c>
    </row>
    <row r="339" spans="2:8" x14ac:dyDescent="0.35">
      <c r="B339" s="9">
        <f t="shared" si="45"/>
        <v>325</v>
      </c>
      <c r="C339" s="60">
        <f t="shared" si="40"/>
        <v>28</v>
      </c>
      <c r="D339" s="61">
        <f t="shared" si="41"/>
        <v>5129985.1224612743</v>
      </c>
      <c r="E339" s="62">
        <f t="shared" si="42"/>
        <v>154950.80789100332</v>
      </c>
      <c r="F339" s="103">
        <f t="shared" si="43"/>
        <v>23597.931563321861</v>
      </c>
      <c r="G339" s="103">
        <f t="shared" si="46"/>
        <v>131352.87632768147</v>
      </c>
      <c r="H339" s="10">
        <f t="shared" si="44"/>
        <v>4998632.2461335929</v>
      </c>
    </row>
    <row r="340" spans="2:8" x14ac:dyDescent="0.35">
      <c r="B340" s="9">
        <f t="shared" si="45"/>
        <v>326</v>
      </c>
      <c r="C340" s="60">
        <f t="shared" si="40"/>
        <v>28</v>
      </c>
      <c r="D340" s="61">
        <f t="shared" si="41"/>
        <v>4998632.2461335929</v>
      </c>
      <c r="E340" s="62">
        <f t="shared" si="42"/>
        <v>154950.80789100332</v>
      </c>
      <c r="F340" s="103">
        <f t="shared" si="43"/>
        <v>22993.708332214526</v>
      </c>
      <c r="G340" s="103">
        <f t="shared" si="46"/>
        <v>131957.09955878879</v>
      </c>
      <c r="H340" s="10">
        <f t="shared" si="44"/>
        <v>4866675.1465748046</v>
      </c>
    </row>
    <row r="341" spans="2:8" x14ac:dyDescent="0.35">
      <c r="B341" s="9">
        <f t="shared" si="45"/>
        <v>327</v>
      </c>
      <c r="C341" s="60">
        <f t="shared" si="40"/>
        <v>28</v>
      </c>
      <c r="D341" s="61">
        <f t="shared" si="41"/>
        <v>4866675.1465748046</v>
      </c>
      <c r="E341" s="62">
        <f t="shared" si="42"/>
        <v>154950.80789100332</v>
      </c>
      <c r="F341" s="103">
        <f t="shared" si="43"/>
        <v>22386.705674244102</v>
      </c>
      <c r="G341" s="103">
        <f t="shared" si="46"/>
        <v>132564.10221675923</v>
      </c>
      <c r="H341" s="10">
        <f t="shared" si="44"/>
        <v>4734111.0443580449</v>
      </c>
    </row>
    <row r="342" spans="2:8" x14ac:dyDescent="0.35">
      <c r="B342" s="9">
        <f t="shared" si="45"/>
        <v>328</v>
      </c>
      <c r="C342" s="60">
        <f t="shared" si="40"/>
        <v>28</v>
      </c>
      <c r="D342" s="61">
        <f t="shared" si="41"/>
        <v>4734111.0443580449</v>
      </c>
      <c r="E342" s="62">
        <f t="shared" si="42"/>
        <v>154950.80789100332</v>
      </c>
      <c r="F342" s="103">
        <f t="shared" si="43"/>
        <v>21776.910804047006</v>
      </c>
      <c r="G342" s="103">
        <f t="shared" si="46"/>
        <v>133173.89708695631</v>
      </c>
      <c r="H342" s="10">
        <f t="shared" si="44"/>
        <v>4600937.1472710883</v>
      </c>
    </row>
    <row r="343" spans="2:8" x14ac:dyDescent="0.35">
      <c r="B343" s="9">
        <f t="shared" si="45"/>
        <v>329</v>
      </c>
      <c r="C343" s="60">
        <f t="shared" si="40"/>
        <v>28</v>
      </c>
      <c r="D343" s="61">
        <f t="shared" si="41"/>
        <v>4600937.1472710883</v>
      </c>
      <c r="E343" s="62">
        <f t="shared" si="42"/>
        <v>154950.80789100332</v>
      </c>
      <c r="F343" s="103">
        <f t="shared" si="43"/>
        <v>21164.310877447006</v>
      </c>
      <c r="G343" s="103">
        <f t="shared" si="46"/>
        <v>133786.49701355631</v>
      </c>
      <c r="H343" s="10">
        <f t="shared" si="44"/>
        <v>4467150.6502575316</v>
      </c>
    </row>
    <row r="344" spans="2:8" x14ac:dyDescent="0.35">
      <c r="B344" s="9">
        <f t="shared" si="45"/>
        <v>330</v>
      </c>
      <c r="C344" s="60">
        <f t="shared" si="40"/>
        <v>28</v>
      </c>
      <c r="D344" s="61">
        <f t="shared" si="41"/>
        <v>4467150.6502575316</v>
      </c>
      <c r="E344" s="62">
        <f t="shared" si="42"/>
        <v>154950.80789100332</v>
      </c>
      <c r="F344" s="103">
        <f t="shared" si="43"/>
        <v>20548.892991184646</v>
      </c>
      <c r="G344" s="103">
        <f t="shared" si="46"/>
        <v>134401.91489981869</v>
      </c>
      <c r="H344" s="10">
        <f t="shared" si="44"/>
        <v>4332748.735357713</v>
      </c>
    </row>
    <row r="345" spans="2:8" x14ac:dyDescent="0.35">
      <c r="B345" s="9">
        <f t="shared" si="45"/>
        <v>331</v>
      </c>
      <c r="C345" s="60">
        <f t="shared" si="40"/>
        <v>28</v>
      </c>
      <c r="D345" s="61">
        <f t="shared" si="41"/>
        <v>4332748.735357713</v>
      </c>
      <c r="E345" s="62">
        <f t="shared" si="42"/>
        <v>154950.80789100332</v>
      </c>
      <c r="F345" s="103">
        <f t="shared" si="43"/>
        <v>19930.644182645479</v>
      </c>
      <c r="G345" s="103">
        <f t="shared" si="46"/>
        <v>135020.16370835784</v>
      </c>
      <c r="H345" s="10">
        <f t="shared" si="44"/>
        <v>4197728.5716493549</v>
      </c>
    </row>
    <row r="346" spans="2:8" x14ac:dyDescent="0.35">
      <c r="B346" s="9">
        <f t="shared" si="45"/>
        <v>332</v>
      </c>
      <c r="C346" s="60">
        <f t="shared" si="40"/>
        <v>28</v>
      </c>
      <c r="D346" s="61">
        <f t="shared" si="41"/>
        <v>4197728.5716493549</v>
      </c>
      <c r="E346" s="62">
        <f t="shared" si="42"/>
        <v>154950.80789100332</v>
      </c>
      <c r="F346" s="103">
        <f t="shared" si="43"/>
        <v>19309.551429587031</v>
      </c>
      <c r="G346" s="103">
        <f t="shared" si="46"/>
        <v>135641.25646141628</v>
      </c>
      <c r="H346" s="10">
        <f t="shared" si="44"/>
        <v>4062087.3151879385</v>
      </c>
    </row>
    <row r="347" spans="2:8" x14ac:dyDescent="0.35">
      <c r="B347" s="9">
        <f t="shared" si="45"/>
        <v>333</v>
      </c>
      <c r="C347" s="60">
        <f t="shared" si="40"/>
        <v>28</v>
      </c>
      <c r="D347" s="61">
        <f t="shared" si="41"/>
        <v>4062087.3151879385</v>
      </c>
      <c r="E347" s="62">
        <f t="shared" si="42"/>
        <v>154950.80789100332</v>
      </c>
      <c r="F347" s="103">
        <f t="shared" si="43"/>
        <v>18685.601649864519</v>
      </c>
      <c r="G347" s="103">
        <f t="shared" si="46"/>
        <v>136265.2062411388</v>
      </c>
      <c r="H347" s="10">
        <f t="shared" si="44"/>
        <v>3925822.1089467998</v>
      </c>
    </row>
    <row r="348" spans="2:8" x14ac:dyDescent="0.35">
      <c r="B348" s="9">
        <f t="shared" si="45"/>
        <v>334</v>
      </c>
      <c r="C348" s="60">
        <f t="shared" ref="C348:C374" si="47">C336+1</f>
        <v>28</v>
      </c>
      <c r="D348" s="61">
        <f t="shared" si="41"/>
        <v>3925822.1089467998</v>
      </c>
      <c r="E348" s="62">
        <f t="shared" si="42"/>
        <v>154950.80789100332</v>
      </c>
      <c r="F348" s="103">
        <f t="shared" si="43"/>
        <v>18058.78170115528</v>
      </c>
      <c r="G348" s="103">
        <f t="shared" si="46"/>
        <v>136892.02618984805</v>
      </c>
      <c r="H348" s="10">
        <f t="shared" si="44"/>
        <v>3788930.0827569519</v>
      </c>
    </row>
    <row r="349" spans="2:8" x14ac:dyDescent="0.35">
      <c r="B349" s="9">
        <f t="shared" si="45"/>
        <v>335</v>
      </c>
      <c r="C349" s="60">
        <f t="shared" si="47"/>
        <v>28</v>
      </c>
      <c r="D349" s="61">
        <f t="shared" si="41"/>
        <v>3788930.0827569519</v>
      </c>
      <c r="E349" s="62">
        <f t="shared" si="42"/>
        <v>154950.80789100332</v>
      </c>
      <c r="F349" s="103">
        <f t="shared" si="43"/>
        <v>17429.078380681978</v>
      </c>
      <c r="G349" s="103">
        <f t="shared" si="46"/>
        <v>137521.72951032134</v>
      </c>
      <c r="H349" s="10">
        <f t="shared" si="44"/>
        <v>3651408.3532466306</v>
      </c>
    </row>
    <row r="350" spans="2:8" x14ac:dyDescent="0.35">
      <c r="B350" s="9">
        <f t="shared" si="45"/>
        <v>336</v>
      </c>
      <c r="C350" s="60">
        <f t="shared" si="47"/>
        <v>28</v>
      </c>
      <c r="D350" s="61">
        <f t="shared" si="41"/>
        <v>3651408.3532466306</v>
      </c>
      <c r="E350" s="62">
        <f t="shared" si="42"/>
        <v>154950.80789100332</v>
      </c>
      <c r="F350" s="103">
        <f t="shared" si="43"/>
        <v>16796.478424934499</v>
      </c>
      <c r="G350" s="103">
        <f t="shared" si="46"/>
        <v>138154.32946606883</v>
      </c>
      <c r="H350" s="10">
        <f t="shared" si="44"/>
        <v>3513254.023780562</v>
      </c>
    </row>
    <row r="351" spans="2:8" x14ac:dyDescent="0.35">
      <c r="B351" s="9">
        <f t="shared" si="45"/>
        <v>337</v>
      </c>
      <c r="C351" s="60">
        <f t="shared" si="47"/>
        <v>29</v>
      </c>
      <c r="D351" s="61">
        <f t="shared" si="41"/>
        <v>3513254.023780562</v>
      </c>
      <c r="E351" s="62">
        <f t="shared" si="42"/>
        <v>154950.80789100332</v>
      </c>
      <c r="F351" s="103">
        <f t="shared" si="43"/>
        <v>16160.968509390585</v>
      </c>
      <c r="G351" s="103">
        <f t="shared" si="46"/>
        <v>138789.83938161275</v>
      </c>
      <c r="H351" s="10">
        <f t="shared" si="44"/>
        <v>3374464.1843989491</v>
      </c>
    </row>
    <row r="352" spans="2:8" x14ac:dyDescent="0.35">
      <c r="B352" s="9">
        <f t="shared" si="45"/>
        <v>338</v>
      </c>
      <c r="C352" s="60">
        <f t="shared" si="47"/>
        <v>29</v>
      </c>
      <c r="D352" s="61">
        <f t="shared" si="41"/>
        <v>3374464.1843989491</v>
      </c>
      <c r="E352" s="62">
        <f t="shared" si="42"/>
        <v>154950.80789100332</v>
      </c>
      <c r="F352" s="103">
        <f t="shared" si="43"/>
        <v>15522.535248235166</v>
      </c>
      <c r="G352" s="103">
        <f t="shared" si="46"/>
        <v>139428.27264276816</v>
      </c>
      <c r="H352" s="10">
        <f t="shared" si="44"/>
        <v>3235035.9117561812</v>
      </c>
    </row>
    <row r="353" spans="2:8" x14ac:dyDescent="0.35">
      <c r="B353" s="9">
        <f t="shared" si="45"/>
        <v>339</v>
      </c>
      <c r="C353" s="60">
        <f t="shared" si="47"/>
        <v>29</v>
      </c>
      <c r="D353" s="61">
        <f t="shared" si="41"/>
        <v>3235035.9117561812</v>
      </c>
      <c r="E353" s="62">
        <f t="shared" si="42"/>
        <v>154950.80789100332</v>
      </c>
      <c r="F353" s="103">
        <f t="shared" si="43"/>
        <v>14881.165194078432</v>
      </c>
      <c r="G353" s="103">
        <f t="shared" si="46"/>
        <v>140069.64269692489</v>
      </c>
      <c r="H353" s="10">
        <f t="shared" si="44"/>
        <v>3094966.2690592562</v>
      </c>
    </row>
    <row r="354" spans="2:8" x14ac:dyDescent="0.35">
      <c r="B354" s="9">
        <f t="shared" si="45"/>
        <v>340</v>
      </c>
      <c r="C354" s="60">
        <f t="shared" si="47"/>
        <v>29</v>
      </c>
      <c r="D354" s="61">
        <f t="shared" si="41"/>
        <v>3094966.2690592562</v>
      </c>
      <c r="E354" s="62">
        <f t="shared" si="42"/>
        <v>154950.80789100332</v>
      </c>
      <c r="F354" s="103">
        <f t="shared" si="43"/>
        <v>14236.844837672577</v>
      </c>
      <c r="G354" s="103">
        <f t="shared" si="46"/>
        <v>140713.96305333075</v>
      </c>
      <c r="H354" s="10">
        <f t="shared" si="44"/>
        <v>2954252.3060059254</v>
      </c>
    </row>
    <row r="355" spans="2:8" x14ac:dyDescent="0.35">
      <c r="B355" s="9">
        <f t="shared" si="45"/>
        <v>341</v>
      </c>
      <c r="C355" s="60">
        <f t="shared" si="47"/>
        <v>29</v>
      </c>
      <c r="D355" s="61">
        <f t="shared" si="41"/>
        <v>2954252.3060059254</v>
      </c>
      <c r="E355" s="62">
        <f t="shared" si="42"/>
        <v>154950.80789100332</v>
      </c>
      <c r="F355" s="103">
        <f t="shared" si="43"/>
        <v>13589.560607627256</v>
      </c>
      <c r="G355" s="103">
        <f t="shared" si="46"/>
        <v>141361.24728337605</v>
      </c>
      <c r="H355" s="10">
        <f t="shared" si="44"/>
        <v>2812891.0587225491</v>
      </c>
    </row>
    <row r="356" spans="2:8" x14ac:dyDescent="0.35">
      <c r="B356" s="9">
        <f t="shared" si="45"/>
        <v>342</v>
      </c>
      <c r="C356" s="60">
        <f t="shared" si="47"/>
        <v>29</v>
      </c>
      <c r="D356" s="61">
        <f t="shared" si="41"/>
        <v>2812891.0587225491</v>
      </c>
      <c r="E356" s="62">
        <f t="shared" si="42"/>
        <v>154950.80789100332</v>
      </c>
      <c r="F356" s="103">
        <f t="shared" si="43"/>
        <v>12939.298870123726</v>
      </c>
      <c r="G356" s="103">
        <f t="shared" si="46"/>
        <v>142011.5090208796</v>
      </c>
      <c r="H356" s="10">
        <f t="shared" si="44"/>
        <v>2670879.5497016697</v>
      </c>
    </row>
    <row r="357" spans="2:8" x14ac:dyDescent="0.35">
      <c r="B357" s="9">
        <f t="shared" si="45"/>
        <v>343</v>
      </c>
      <c r="C357" s="60">
        <f t="shared" si="47"/>
        <v>29</v>
      </c>
      <c r="D357" s="61">
        <f t="shared" si="41"/>
        <v>2670879.5497016697</v>
      </c>
      <c r="E357" s="62">
        <f t="shared" si="42"/>
        <v>154950.80789100332</v>
      </c>
      <c r="F357" s="103">
        <f t="shared" si="43"/>
        <v>12286.04592862768</v>
      </c>
      <c r="G357" s="103">
        <f t="shared" si="46"/>
        <v>142664.76196237563</v>
      </c>
      <c r="H357" s="10">
        <f t="shared" si="44"/>
        <v>2528214.7877392941</v>
      </c>
    </row>
    <row r="358" spans="2:8" x14ac:dyDescent="0.35">
      <c r="B358" s="9">
        <f t="shared" si="45"/>
        <v>344</v>
      </c>
      <c r="C358" s="60">
        <f t="shared" si="47"/>
        <v>29</v>
      </c>
      <c r="D358" s="61">
        <f t="shared" si="41"/>
        <v>2528214.7877392941</v>
      </c>
      <c r="E358" s="62">
        <f t="shared" si="42"/>
        <v>154950.80789100332</v>
      </c>
      <c r="F358" s="103">
        <f t="shared" si="43"/>
        <v>11629.788023600753</v>
      </c>
      <c r="G358" s="103">
        <f t="shared" si="46"/>
        <v>143321.01986740256</v>
      </c>
      <c r="H358" s="10">
        <f t="shared" si="44"/>
        <v>2384893.7678718916</v>
      </c>
    </row>
    <row r="359" spans="2:8" x14ac:dyDescent="0.35">
      <c r="B359" s="9">
        <f t="shared" si="45"/>
        <v>345</v>
      </c>
      <c r="C359" s="60">
        <f t="shared" si="47"/>
        <v>29</v>
      </c>
      <c r="D359" s="61">
        <f t="shared" si="41"/>
        <v>2384893.7678718916</v>
      </c>
      <c r="E359" s="62">
        <f t="shared" si="42"/>
        <v>154950.80789100332</v>
      </c>
      <c r="F359" s="103">
        <f t="shared" si="43"/>
        <v>10970.511332210701</v>
      </c>
      <c r="G359" s="103">
        <f t="shared" si="46"/>
        <v>143980.29655879262</v>
      </c>
      <c r="H359" s="10">
        <f t="shared" si="44"/>
        <v>2240913.4713130989</v>
      </c>
    </row>
    <row r="360" spans="2:8" x14ac:dyDescent="0.35">
      <c r="B360" s="9">
        <f t="shared" si="45"/>
        <v>346</v>
      </c>
      <c r="C360" s="60">
        <f t="shared" si="47"/>
        <v>29</v>
      </c>
      <c r="D360" s="61">
        <f t="shared" si="41"/>
        <v>2240913.4713130989</v>
      </c>
      <c r="E360" s="62">
        <f t="shared" si="42"/>
        <v>154950.80789100332</v>
      </c>
      <c r="F360" s="103">
        <f t="shared" si="43"/>
        <v>10308.201968040255</v>
      </c>
      <c r="G360" s="103">
        <f t="shared" si="46"/>
        <v>144642.60592296306</v>
      </c>
      <c r="H360" s="10">
        <f t="shared" si="44"/>
        <v>2096270.8653901359</v>
      </c>
    </row>
    <row r="361" spans="2:8" x14ac:dyDescent="0.35">
      <c r="B361" s="9">
        <f t="shared" si="45"/>
        <v>347</v>
      </c>
      <c r="C361" s="60">
        <f t="shared" si="47"/>
        <v>29</v>
      </c>
      <c r="D361" s="61">
        <f t="shared" si="41"/>
        <v>2096270.8653901359</v>
      </c>
      <c r="E361" s="62">
        <f t="shared" si="42"/>
        <v>154950.80789100332</v>
      </c>
      <c r="F361" s="103">
        <f t="shared" si="43"/>
        <v>9642.8459807946256</v>
      </c>
      <c r="G361" s="103">
        <f t="shared" si="46"/>
        <v>145307.96191020869</v>
      </c>
      <c r="H361" s="10">
        <f t="shared" si="44"/>
        <v>1950962.9034799272</v>
      </c>
    </row>
    <row r="362" spans="2:8" x14ac:dyDescent="0.35">
      <c r="B362" s="9">
        <f t="shared" si="45"/>
        <v>348</v>
      </c>
      <c r="C362" s="60">
        <f t="shared" si="47"/>
        <v>29</v>
      </c>
      <c r="D362" s="61">
        <f t="shared" si="41"/>
        <v>1950962.9034799272</v>
      </c>
      <c r="E362" s="62">
        <f t="shared" si="42"/>
        <v>154950.80789100332</v>
      </c>
      <c r="F362" s="103">
        <f t="shared" si="43"/>
        <v>8974.4293560076658</v>
      </c>
      <c r="G362" s="103">
        <f t="shared" si="46"/>
        <v>145976.37853499566</v>
      </c>
      <c r="H362" s="10">
        <f t="shared" si="44"/>
        <v>1804986.5249449315</v>
      </c>
    </row>
    <row r="363" spans="2:8" x14ac:dyDescent="0.35">
      <c r="B363" s="9">
        <f t="shared" si="45"/>
        <v>349</v>
      </c>
      <c r="C363" s="60">
        <f t="shared" si="47"/>
        <v>30</v>
      </c>
      <c r="D363" s="61">
        <f t="shared" si="41"/>
        <v>1804986.5249449315</v>
      </c>
      <c r="E363" s="62">
        <f t="shared" si="42"/>
        <v>154950.80789100332</v>
      </c>
      <c r="F363" s="103">
        <f t="shared" si="43"/>
        <v>8302.9380147466854</v>
      </c>
      <c r="G363" s="103">
        <f t="shared" si="46"/>
        <v>146647.86987625665</v>
      </c>
      <c r="H363" s="10">
        <f t="shared" si="44"/>
        <v>1658338.6550686748</v>
      </c>
    </row>
    <row r="364" spans="2:8" x14ac:dyDescent="0.35">
      <c r="B364" s="9">
        <f t="shared" si="45"/>
        <v>350</v>
      </c>
      <c r="C364" s="60">
        <f t="shared" si="47"/>
        <v>30</v>
      </c>
      <c r="D364" s="61">
        <f t="shared" si="41"/>
        <v>1658338.6550686748</v>
      </c>
      <c r="E364" s="62">
        <f t="shared" si="42"/>
        <v>154950.80789100332</v>
      </c>
      <c r="F364" s="103">
        <f t="shared" si="43"/>
        <v>7628.3578133159044</v>
      </c>
      <c r="G364" s="103">
        <f t="shared" si="46"/>
        <v>147322.45007768742</v>
      </c>
      <c r="H364" s="10">
        <f t="shared" si="44"/>
        <v>1511016.2049909874</v>
      </c>
    </row>
    <row r="365" spans="2:8" x14ac:dyDescent="0.35">
      <c r="B365" s="9">
        <f t="shared" si="45"/>
        <v>351</v>
      </c>
      <c r="C365" s="60">
        <f t="shared" si="47"/>
        <v>30</v>
      </c>
      <c r="D365" s="61">
        <f t="shared" si="41"/>
        <v>1511016.2049909874</v>
      </c>
      <c r="E365" s="62">
        <f t="shared" si="42"/>
        <v>154950.80789100332</v>
      </c>
      <c r="F365" s="103">
        <f t="shared" si="43"/>
        <v>6950.6745429585417</v>
      </c>
      <c r="G365" s="103">
        <f t="shared" si="46"/>
        <v>148000.13334804479</v>
      </c>
      <c r="H365" s="10">
        <f t="shared" si="44"/>
        <v>1363016.0716429427</v>
      </c>
    </row>
    <row r="366" spans="2:8" x14ac:dyDescent="0.35">
      <c r="B366" s="9">
        <f t="shared" si="45"/>
        <v>352</v>
      </c>
      <c r="C366" s="60">
        <f t="shared" si="47"/>
        <v>30</v>
      </c>
      <c r="D366" s="61">
        <f t="shared" si="41"/>
        <v>1363016.0716429427</v>
      </c>
      <c r="E366" s="62">
        <f t="shared" si="42"/>
        <v>154950.80789100332</v>
      </c>
      <c r="F366" s="103">
        <f t="shared" si="43"/>
        <v>6269.873929557536</v>
      </c>
      <c r="G366" s="103">
        <f t="shared" si="46"/>
        <v>148680.93396144579</v>
      </c>
      <c r="H366" s="10">
        <f t="shared" si="44"/>
        <v>1214335.137681497</v>
      </c>
    </row>
    <row r="367" spans="2:8" x14ac:dyDescent="0.35">
      <c r="B367" s="9">
        <f t="shared" si="45"/>
        <v>353</v>
      </c>
      <c r="C367" s="60">
        <f t="shared" si="47"/>
        <v>30</v>
      </c>
      <c r="D367" s="61">
        <f t="shared" si="41"/>
        <v>1214335.137681497</v>
      </c>
      <c r="E367" s="62">
        <f t="shared" si="42"/>
        <v>154950.80789100332</v>
      </c>
      <c r="F367" s="103">
        <f t="shared" si="43"/>
        <v>5585.9416333348863</v>
      </c>
      <c r="G367" s="103">
        <f t="shared" si="46"/>
        <v>149364.86625766844</v>
      </c>
      <c r="H367" s="10">
        <f t="shared" si="44"/>
        <v>1064970.2714238286</v>
      </c>
    </row>
    <row r="368" spans="2:8" x14ac:dyDescent="0.35">
      <c r="B368" s="9">
        <f t="shared" si="45"/>
        <v>354</v>
      </c>
      <c r="C368" s="60">
        <f t="shared" si="47"/>
        <v>30</v>
      </c>
      <c r="D368" s="61">
        <f t="shared" si="41"/>
        <v>1064970.2714238286</v>
      </c>
      <c r="E368" s="62">
        <f t="shared" si="42"/>
        <v>154950.80789100332</v>
      </c>
      <c r="F368" s="103">
        <f t="shared" si="43"/>
        <v>4898.8632485496109</v>
      </c>
      <c r="G368" s="103">
        <f t="shared" si="46"/>
        <v>150051.94464245372</v>
      </c>
      <c r="H368" s="10">
        <f t="shared" si="44"/>
        <v>914918.32678137487</v>
      </c>
    </row>
    <row r="369" spans="2:8" x14ac:dyDescent="0.35">
      <c r="B369" s="9">
        <f t="shared" si="45"/>
        <v>355</v>
      </c>
      <c r="C369" s="60">
        <f t="shared" si="47"/>
        <v>30</v>
      </c>
      <c r="D369" s="61">
        <f t="shared" si="41"/>
        <v>914918.32678137487</v>
      </c>
      <c r="E369" s="62">
        <f t="shared" si="42"/>
        <v>154950.80789100332</v>
      </c>
      <c r="F369" s="103">
        <f t="shared" si="43"/>
        <v>4208.6243031943241</v>
      </c>
      <c r="G369" s="103">
        <f t="shared" si="46"/>
        <v>150742.18358780901</v>
      </c>
      <c r="H369" s="10">
        <f t="shared" si="44"/>
        <v>764176.14319356589</v>
      </c>
    </row>
    <row r="370" spans="2:8" x14ac:dyDescent="0.35">
      <c r="B370" s="9">
        <f t="shared" si="45"/>
        <v>356</v>
      </c>
      <c r="C370" s="60">
        <f t="shared" si="47"/>
        <v>30</v>
      </c>
      <c r="D370" s="61">
        <f t="shared" si="41"/>
        <v>764176.14319356589</v>
      </c>
      <c r="E370" s="62">
        <f t="shared" si="42"/>
        <v>154950.80789100332</v>
      </c>
      <c r="F370" s="103">
        <f t="shared" si="43"/>
        <v>3515.210258690403</v>
      </c>
      <c r="G370" s="103">
        <f t="shared" si="46"/>
        <v>151435.59763231291</v>
      </c>
      <c r="H370" s="10">
        <f t="shared" si="44"/>
        <v>612740.54556125298</v>
      </c>
    </row>
    <row r="371" spans="2:8" x14ac:dyDescent="0.35">
      <c r="B371" s="9">
        <f t="shared" si="45"/>
        <v>357</v>
      </c>
      <c r="C371" s="60">
        <f t="shared" si="47"/>
        <v>30</v>
      </c>
      <c r="D371" s="61">
        <f t="shared" si="41"/>
        <v>612740.54556125298</v>
      </c>
      <c r="E371" s="62">
        <f t="shared" si="42"/>
        <v>154950.80789100332</v>
      </c>
      <c r="F371" s="103">
        <f t="shared" si="43"/>
        <v>2818.6065095817635</v>
      </c>
      <c r="G371" s="103">
        <f t="shared" si="46"/>
        <v>152132.20138142156</v>
      </c>
      <c r="H371" s="10">
        <f t="shared" si="44"/>
        <v>460608.34417983145</v>
      </c>
    </row>
    <row r="372" spans="2:8" x14ac:dyDescent="0.35">
      <c r="B372" s="9">
        <f t="shared" si="45"/>
        <v>358</v>
      </c>
      <c r="C372" s="60">
        <f t="shared" si="47"/>
        <v>30</v>
      </c>
      <c r="D372" s="61">
        <f t="shared" si="41"/>
        <v>460608.34417983145</v>
      </c>
      <c r="E372" s="62">
        <f t="shared" si="42"/>
        <v>154950.80789100332</v>
      </c>
      <c r="F372" s="103">
        <f t="shared" si="43"/>
        <v>2118.7983832272248</v>
      </c>
      <c r="G372" s="103">
        <f t="shared" si="46"/>
        <v>152832.00950777609</v>
      </c>
      <c r="H372" s="10">
        <f t="shared" si="44"/>
        <v>307776.33467205532</v>
      </c>
    </row>
    <row r="373" spans="2:8" x14ac:dyDescent="0.35">
      <c r="B373" s="9">
        <f t="shared" si="45"/>
        <v>359</v>
      </c>
      <c r="C373" s="60">
        <f t="shared" si="47"/>
        <v>30</v>
      </c>
      <c r="D373" s="61">
        <f t="shared" si="41"/>
        <v>307776.33467205532</v>
      </c>
      <c r="E373" s="62">
        <f t="shared" si="42"/>
        <v>154950.80789100332</v>
      </c>
      <c r="F373" s="103">
        <f t="shared" si="43"/>
        <v>1415.7711394914545</v>
      </c>
      <c r="G373" s="103">
        <f t="shared" si="46"/>
        <v>153535.03675151186</v>
      </c>
      <c r="H373" s="10">
        <f t="shared" si="44"/>
        <v>154241.29792054347</v>
      </c>
    </row>
    <row r="374" spans="2:8" x14ac:dyDescent="0.35">
      <c r="B374" s="11">
        <f t="shared" si="45"/>
        <v>360</v>
      </c>
      <c r="C374" s="56">
        <f t="shared" si="47"/>
        <v>30</v>
      </c>
      <c r="D374" s="12">
        <f t="shared" si="41"/>
        <v>154241.29792054347</v>
      </c>
      <c r="E374" s="13">
        <f t="shared" si="42"/>
        <v>154950.80789100332</v>
      </c>
      <c r="F374" s="103">
        <f t="shared" si="43"/>
        <v>709.50997043449991</v>
      </c>
      <c r="G374" s="103">
        <f t="shared" si="46"/>
        <v>154241.29792056882</v>
      </c>
      <c r="H374" s="14">
        <f t="shared" si="44"/>
        <v>-2.5349436327815056E-8</v>
      </c>
    </row>
    <row r="375" spans="2:8" x14ac:dyDescent="0.35">
      <c r="F375" s="103"/>
    </row>
    <row r="376" spans="2:8" x14ac:dyDescent="0.35">
      <c r="F376" s="103"/>
    </row>
  </sheetData>
  <mergeCells count="1">
    <mergeCell ref="F12:G12"/>
  </mergeCells>
  <conditionalFormatting sqref="B15:H15 B16:E374 G16:H374 F16:F376">
    <cfRule type="expression" dxfId="1" priority="3">
      <formula>MOD(ROW(),2)=1</formula>
    </cfRule>
  </conditionalFormatting>
  <conditionalFormatting sqref="J15:N44">
    <cfRule type="expression" dxfId="0" priority="1">
      <formula>MOD(ROW(),2)=1</formula>
    </cfRule>
  </conditionalFormatting>
  <pageMargins left="0.7" right="0.7" top="0.75" bottom="0.75" header="0.3" footer="0.3"/>
  <pageSetup orientation="portrait" verticalDpi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 Forma_BLANK</vt:lpstr>
      <vt:lpstr>Loan Amortization_BLANK</vt:lpstr>
      <vt:lpstr>'Pro Forma_BLANK'!Print_Area</vt:lpstr>
      <vt:lpstr>'Pro Forma_BLANK'!Print_Titles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Byrd</dc:creator>
  <cp:lastModifiedBy>will holt</cp:lastModifiedBy>
  <cp:lastPrinted>2019-10-02T04:12:00Z</cp:lastPrinted>
  <dcterms:created xsi:type="dcterms:W3CDTF">2019-09-15T17:14:43Z</dcterms:created>
  <dcterms:modified xsi:type="dcterms:W3CDTF">2025-02-11T18:35:53Z</dcterms:modified>
</cp:coreProperties>
</file>