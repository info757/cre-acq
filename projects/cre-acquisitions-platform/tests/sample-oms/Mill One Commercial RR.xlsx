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ickgonzalez/LTP Commercial Dropbox/Nicolas Gonzalez/LTP Public/Listings/MV2 Mooresville Portfolio - NDG/Mill One/Misc./"/>
    </mc:Choice>
  </mc:AlternateContent>
  <xr:revisionPtr revIDLastSave="0" documentId="13_ncr:1_{6D5E9651-29B3-D946-B62A-A743F5028A61}" xr6:coauthVersionLast="47" xr6:coauthVersionMax="47" xr10:uidLastSave="{00000000-0000-0000-0000-000000000000}"/>
  <bookViews>
    <workbookView xWindow="0" yWindow="500" windowWidth="47620" windowHeight="26180" xr2:uid="{B235513A-8813-024C-B89C-6576E9ED6570}"/>
  </bookViews>
  <sheets>
    <sheet name="Sheet1" sheetId="1" r:id="rId1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7" i="1" l="1"/>
  <c r="D19" i="1"/>
  <c r="K19" i="1" s="1"/>
  <c r="K25" i="1"/>
  <c r="K23" i="1"/>
  <c r="K21" i="1"/>
  <c r="K17" i="1"/>
  <c r="K29" i="1" s="1"/>
  <c r="K15" i="1"/>
  <c r="K12" i="1"/>
  <c r="K10" i="1"/>
  <c r="K8" i="1"/>
  <c r="K6" i="1"/>
  <c r="K4" i="1"/>
</calcChain>
</file>

<file path=xl/sharedStrings.xml><?xml version="1.0" encoding="utf-8"?>
<sst xmlns="http://schemas.openxmlformats.org/spreadsheetml/2006/main" count="72" uniqueCount="33">
  <si>
    <t>Commercial</t>
  </si>
  <si>
    <t>Southern Fork, LLC</t>
  </si>
  <si>
    <t>10 years</t>
  </si>
  <si>
    <t>(2) 5 year options</t>
  </si>
  <si>
    <t>CAM</t>
  </si>
  <si>
    <t>Eat-a-Bowl</t>
  </si>
  <si>
    <t>5 years</t>
  </si>
  <si>
    <t>Acqua Regazza Ristorante</t>
  </si>
  <si>
    <t>Crave Cookie</t>
  </si>
  <si>
    <t>10.25 years</t>
  </si>
  <si>
    <t>(1) 10 year options</t>
  </si>
  <si>
    <t xml:space="preserve">MV2 Investments LLC </t>
  </si>
  <si>
    <t>X</t>
  </si>
  <si>
    <t>Leasing Office</t>
  </si>
  <si>
    <t>n/a</t>
  </si>
  <si>
    <t>Buah Juice Bar</t>
  </si>
  <si>
    <t>(1) 5 year option</t>
  </si>
  <si>
    <t>FOR LEASE</t>
  </si>
  <si>
    <t>TBD</t>
  </si>
  <si>
    <t>Mikula Salon &amp; Spa</t>
  </si>
  <si>
    <t>Liberty Mutual</t>
  </si>
  <si>
    <t>111, 112 &amp; 113</t>
  </si>
  <si>
    <t>Rio 150</t>
  </si>
  <si>
    <t>Monthly rent</t>
  </si>
  <si>
    <t>Deposit</t>
  </si>
  <si>
    <t>Lease Exp</t>
  </si>
  <si>
    <t>Move In date</t>
  </si>
  <si>
    <t>Last Q Increase</t>
  </si>
  <si>
    <t>Have LOI's, seller's will lease back if needed</t>
  </si>
  <si>
    <t>Square Footage</t>
  </si>
  <si>
    <t>PSF</t>
  </si>
  <si>
    <t>ProWay Garage Doors</t>
  </si>
  <si>
    <t>Ivy Rehab Physical Therapy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</si>
</sst>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;@"/>
  </numFmts>
  <fonts count="3" x14ac:knownFonts="1">
    <font>
      <sz val="12"/>
      <color theme="1"/>
      <name val="Aptos Narrow"/>
      <family val="2"/>
      <scheme val="minor"/>
    </font>
    <font>
      <sz val="10"/>
      <name val="Times New Roman"/>
      <family val="1"/>
    </font>
    <font>
      <i/>
      <sz val="10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E4DFEC"/>
        <bgColor rgb="FF000000"/>
      </patternFill>
    </fill>
    <fill>
      <patternFill patternType="solid">
        <fgColor rgb="FFFCD5B4"/>
        <bgColor rgb="FF000000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/>
    <xf numFmtId="164" fontId="1" fillId="2" borderId="1" xfId="0" applyNumberFormat="1" applyFont="1" applyFill="1" applyBorder="1" applyAlignment="1" applyProtection="1">
      <alignment horizontal="center" vertical="center"/>
      <protection locked="0"/>
    </xf>
    <xf numFmtId="14" fontId="1" fillId="4" borderId="1" xfId="0" applyNumberFormat="1" applyFont="1" applyFill="1" applyBorder="1" applyAlignment="1" applyProtection="1">
      <alignment horizontal="center" vertical="center"/>
      <protection locked="0"/>
    </xf>
    <xf numFmtId="14" fontId="1" fillId="6" borderId="1" xfId="0" applyNumberFormat="1" applyFont="1" applyFill="1" applyBorder="1" applyAlignment="1" applyProtection="1">
      <alignment horizontal="center" vertical="center"/>
      <protection locked="0"/>
    </xf>
    <xf numFmtId="164" fontId="1" fillId="3" borderId="1" xfId="0" applyNumberFormat="1" applyFont="1" applyFill="1" applyBorder="1" applyAlignment="1" applyProtection="1">
      <alignment horizontal="center" vertical="center"/>
      <protection locked="0"/>
    </xf>
    <xf numFmtId="164" fontId="1" fillId="5" borderId="1" xfId="0" applyNumberFormat="1" applyFont="1" applyFill="1" applyBorder="1" applyAlignment="1" applyProtection="1">
      <alignment horizontal="center" vertical="center"/>
      <protection locked="0"/>
    </xf>
    <xf numFmtId="14" fontId="1" fillId="5" borderId="1" xfId="0" applyNumberFormat="1" applyFont="1" applyFill="1" applyBorder="1" applyAlignment="1" applyProtection="1">
      <alignment horizontal="center" vertical="center"/>
      <protection locked="0"/>
    </xf>
    <xf numFmtId="164" fontId="2" fillId="2" borderId="1" xfId="0" applyNumberFormat="1" applyFont="1" applyFill="1" applyBorder="1" applyAlignment="1" applyProtection="1">
      <alignment horizontal="center" vertical="center"/>
      <protection locked="0"/>
    </xf>
    <xf numFmtId="14" fontId="2" fillId="2" borderId="1" xfId="0" applyNumberFormat="1" applyFont="1" applyFill="1" applyBorder="1" applyAlignment="1" applyProtection="1">
      <alignment horizontal="center" vertical="center"/>
      <protection locked="0"/>
    </xf>
    <xf numFmtId="14" fontId="1" fillId="4" borderId="1" xfId="0" applyNumberFormat="1" applyFont="1" applyFill="1" applyBorder="1" applyAlignment="1" applyProtection="1">
      <alignment horizontal="center"/>
      <protection locked="0"/>
    </xf>
    <xf numFmtId="0" fontId="1" fillId="2" borderId="2" xfId="0" applyFont="1" applyFill="1" applyBorder="1" applyAlignment="1" applyProtection="1">
      <alignment horizontal="center" vertical="center"/>
      <protection locked="0"/>
    </xf>
    <xf numFmtId="0" fontId="1" fillId="3" borderId="2" xfId="0" applyFont="1" applyFill="1" applyBorder="1" applyAlignment="1" applyProtection="1">
      <alignment horizontal="center" vertical="center"/>
      <protection locked="0"/>
    </xf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906C75-0603-2143-88DB-F13BCF50C3D6}">
  <dimension ref="A3:L29"/>
  <sheetViews>
    <sheetView tabSelected="1" topLeftCell="A3" zoomScale="220" zoomScaleNormal="220" workbookViewId="0">
      <selection activeCell="B26" sqref="B26"/>
    </sheetView>
  </sheetViews>
  <sheetFormatPr baseColWidth="10" defaultRowHeight="16" x14ac:dyDescent="0.2"/>
  <cols>
    <col min="1" max="1" width="12.83203125" bestFit="1" customWidth="1"/>
    <col min="2" max="2" width="22.33203125" bestFit="1" customWidth="1"/>
    <col min="4" max="4" width="12.1640625" bestFit="1" customWidth="1"/>
    <col min="5" max="5" width="19.1640625" bestFit="1" customWidth="1"/>
    <col min="10" max="10" width="16" bestFit="1" customWidth="1"/>
  </cols>
  <sheetData>
    <row r="3" spans="1:11" x14ac:dyDescent="0.2">
      <c r="A3" s="1"/>
      <c r="B3" s="1" t="s">
        <v>0</v>
      </c>
      <c r="C3" s="1" t="s">
        <v>24</v>
      </c>
      <c r="D3" s="1" t="s">
        <v>23</v>
      </c>
      <c r="E3" s="1" t="s">
        <v>29</v>
      </c>
      <c r="F3" s="1" t="s">
        <v>26</v>
      </c>
      <c r="G3" s="1" t="s">
        <v>25</v>
      </c>
      <c r="H3" s="1" t="s">
        <v>27</v>
      </c>
      <c r="I3" s="1"/>
      <c r="J3" s="1"/>
      <c r="K3" s="13" t="s">
        <v>30</v>
      </c>
    </row>
    <row r="4" spans="1:11" x14ac:dyDescent="0.2">
      <c r="A4" s="1">
        <v>100</v>
      </c>
      <c r="B4" s="1" t="s">
        <v>1</v>
      </c>
      <c r="C4" s="1">
        <v>11816.75</v>
      </c>
      <c r="D4" s="1">
        <v>10822.5</v>
      </c>
      <c r="E4" s="11">
        <v>4329</v>
      </c>
      <c r="F4" s="2">
        <v>44519</v>
      </c>
      <c r="G4" s="3" t="s">
        <v>2</v>
      </c>
      <c r="H4" s="4">
        <v>45157</v>
      </c>
      <c r="I4" s="1" t="s">
        <v>2</v>
      </c>
      <c r="J4" s="1" t="s">
        <v>3</v>
      </c>
      <c r="K4">
        <f>(D4*12)/E4</f>
        <v>30</v>
      </c>
    </row>
    <row r="5" spans="1:11" x14ac:dyDescent="0.2">
      <c r="A5" s="1"/>
      <c r="B5" s="1" t="s">
        <v>4</v>
      </c>
      <c r="C5" s="1"/>
      <c r="D5" s="1">
        <v>1074.25</v>
      </c>
      <c r="E5" s="11"/>
      <c r="F5" s="2"/>
      <c r="G5" s="3"/>
      <c r="H5" s="3"/>
      <c r="I5" s="1"/>
      <c r="J5" s="1"/>
    </row>
    <row r="6" spans="1:11" x14ac:dyDescent="0.2">
      <c r="A6" s="1">
        <v>101</v>
      </c>
      <c r="B6" s="1" t="s">
        <v>5</v>
      </c>
      <c r="C6" s="1">
        <v>10514</v>
      </c>
      <c r="D6" s="1">
        <v>9463.5</v>
      </c>
      <c r="E6" s="11">
        <v>4206</v>
      </c>
      <c r="F6" s="2">
        <v>44872</v>
      </c>
      <c r="G6" s="3" t="s">
        <v>6</v>
      </c>
      <c r="H6" s="3">
        <v>45627</v>
      </c>
      <c r="I6" s="1" t="s">
        <v>6</v>
      </c>
      <c r="J6" s="1" t="s">
        <v>3</v>
      </c>
      <c r="K6">
        <f>(D6*12)/E6</f>
        <v>27</v>
      </c>
    </row>
    <row r="7" spans="1:11" x14ac:dyDescent="0.2">
      <c r="A7" s="1"/>
      <c r="B7" s="1" t="s">
        <v>4</v>
      </c>
      <c r="C7" s="1"/>
      <c r="D7" s="1">
        <v>1051.5</v>
      </c>
      <c r="E7" s="11"/>
      <c r="F7" s="2"/>
      <c r="G7" s="3"/>
      <c r="H7" s="3"/>
      <c r="I7" s="1"/>
      <c r="J7" s="1"/>
    </row>
    <row r="8" spans="1:11" x14ac:dyDescent="0.2">
      <c r="A8" s="1">
        <v>102</v>
      </c>
      <c r="B8" s="1" t="s">
        <v>7</v>
      </c>
      <c r="C8" s="1">
        <v>9705</v>
      </c>
      <c r="D8" s="1">
        <v>8734.5</v>
      </c>
      <c r="E8" s="11">
        <v>3922</v>
      </c>
      <c r="F8" s="2">
        <v>44501</v>
      </c>
      <c r="G8" s="3" t="s">
        <v>2</v>
      </c>
      <c r="H8" s="4">
        <v>45108</v>
      </c>
      <c r="I8" s="1" t="s">
        <v>2</v>
      </c>
      <c r="J8" s="1" t="s">
        <v>3</v>
      </c>
      <c r="K8">
        <f>(D8*12)/E8</f>
        <v>26.724630290668028</v>
      </c>
    </row>
    <row r="9" spans="1:11" x14ac:dyDescent="0.2">
      <c r="A9" s="1"/>
      <c r="B9" s="1" t="s">
        <v>4</v>
      </c>
      <c r="C9" s="1"/>
      <c r="D9" s="1">
        <v>980.5</v>
      </c>
      <c r="E9" s="11"/>
      <c r="F9" s="2"/>
      <c r="G9" s="3"/>
      <c r="H9" s="3"/>
      <c r="I9" s="1"/>
      <c r="J9" s="1"/>
    </row>
    <row r="10" spans="1:11" x14ac:dyDescent="0.2">
      <c r="A10" s="1">
        <v>103</v>
      </c>
      <c r="B10" s="1" t="s">
        <v>8</v>
      </c>
      <c r="C10" s="1">
        <v>4262.5</v>
      </c>
      <c r="D10" s="1">
        <v>3875</v>
      </c>
      <c r="E10" s="11">
        <v>1550</v>
      </c>
      <c r="F10" s="2">
        <v>45294</v>
      </c>
      <c r="G10" s="3" t="s">
        <v>9</v>
      </c>
      <c r="H10" s="3">
        <v>45841</v>
      </c>
      <c r="I10" s="1" t="s">
        <v>9</v>
      </c>
      <c r="J10" s="1" t="s">
        <v>10</v>
      </c>
      <c r="K10">
        <f>(D10*12)/E10</f>
        <v>30</v>
      </c>
    </row>
    <row r="11" spans="1:11" x14ac:dyDescent="0.2">
      <c r="A11" s="1"/>
      <c r="B11" s="1" t="s">
        <v>4</v>
      </c>
      <c r="C11" s="1"/>
      <c r="D11" s="1">
        <v>387.5</v>
      </c>
      <c r="E11" s="11"/>
      <c r="F11" s="2"/>
      <c r="G11" s="3"/>
      <c r="H11" s="3"/>
      <c r="I11" s="1"/>
      <c r="J11" s="1"/>
    </row>
    <row r="12" spans="1:11" x14ac:dyDescent="0.2">
      <c r="A12" s="1">
        <v>104</v>
      </c>
      <c r="B12" s="1" t="s">
        <v>11</v>
      </c>
      <c r="C12" s="1">
        <v>2500</v>
      </c>
      <c r="D12" s="1">
        <v>5104.166666666667</v>
      </c>
      <c r="E12" s="11">
        <v>1750</v>
      </c>
      <c r="F12" s="2">
        <v>45352</v>
      </c>
      <c r="G12" s="3" t="s">
        <v>2</v>
      </c>
      <c r="H12" s="3">
        <v>45992</v>
      </c>
      <c r="I12" s="1" t="s">
        <v>2</v>
      </c>
      <c r="J12" s="1" t="s">
        <v>3</v>
      </c>
      <c r="K12">
        <f>(D12*12)/E12</f>
        <v>35</v>
      </c>
    </row>
    <row r="13" spans="1:11" x14ac:dyDescent="0.2">
      <c r="A13" s="1"/>
      <c r="B13" s="1" t="s">
        <v>4</v>
      </c>
      <c r="C13" s="1"/>
      <c r="D13" s="1">
        <v>437.5</v>
      </c>
      <c r="E13" s="11"/>
      <c r="F13" s="2"/>
      <c r="G13" s="3"/>
      <c r="H13" s="3"/>
      <c r="I13" s="1"/>
      <c r="J13" s="1"/>
    </row>
    <row r="14" spans="1:11" x14ac:dyDescent="0.2">
      <c r="A14" s="1" t="s">
        <v>12</v>
      </c>
      <c r="B14" s="1" t="s">
        <v>13</v>
      </c>
      <c r="C14" s="1"/>
      <c r="D14" s="1"/>
      <c r="E14" s="11">
        <v>271</v>
      </c>
      <c r="F14" s="2"/>
      <c r="G14" s="3" t="s">
        <v>14</v>
      </c>
      <c r="H14" s="3"/>
      <c r="I14" s="1" t="s">
        <v>14</v>
      </c>
      <c r="J14" s="1"/>
    </row>
    <row r="15" spans="1:11" x14ac:dyDescent="0.2">
      <c r="A15" s="1">
        <v>105</v>
      </c>
      <c r="B15" s="1" t="s">
        <v>15</v>
      </c>
      <c r="C15" s="1">
        <v>2330</v>
      </c>
      <c r="D15" s="1">
        <v>2097</v>
      </c>
      <c r="E15" s="11">
        <v>932</v>
      </c>
      <c r="F15" s="2">
        <v>44869</v>
      </c>
      <c r="G15" s="3" t="s">
        <v>6</v>
      </c>
      <c r="H15" s="4">
        <v>45020</v>
      </c>
      <c r="I15" s="1" t="s">
        <v>6</v>
      </c>
      <c r="J15" s="1" t="s">
        <v>16</v>
      </c>
      <c r="K15">
        <f>(D15*12)/E15</f>
        <v>27</v>
      </c>
    </row>
    <row r="16" spans="1:11" x14ac:dyDescent="0.2">
      <c r="A16" s="1"/>
      <c r="B16" s="1" t="s">
        <v>4</v>
      </c>
      <c r="C16" s="1"/>
      <c r="D16" s="1">
        <v>233</v>
      </c>
      <c r="E16" s="11"/>
      <c r="F16" s="2"/>
      <c r="G16" s="3"/>
      <c r="H16" s="3"/>
      <c r="I16" s="1"/>
      <c r="J16" s="1"/>
    </row>
    <row r="17" spans="1:12" x14ac:dyDescent="0.2">
      <c r="A17" s="1">
        <v>106</v>
      </c>
      <c r="B17" s="1" t="s">
        <v>31</v>
      </c>
      <c r="C17" s="1"/>
      <c r="D17" s="1">
        <v>2000</v>
      </c>
      <c r="E17" s="12">
        <v>602</v>
      </c>
      <c r="F17" s="5" t="s">
        <v>18</v>
      </c>
      <c r="G17" s="6" t="s">
        <v>18</v>
      </c>
      <c r="H17" s="6" t="s">
        <v>18</v>
      </c>
      <c r="I17" s="1" t="s">
        <v>18</v>
      </c>
      <c r="J17" s="1" t="s">
        <v>18</v>
      </c>
      <c r="K17">
        <f>(D17*12)/E17</f>
        <v>39.867109634551497</v>
      </c>
      <c r="L17" t="s">
        <v>28</v>
      </c>
    </row>
    <row r="18" spans="1:12" x14ac:dyDescent="0.2">
      <c r="A18" s="1"/>
      <c r="B18" s="1"/>
      <c r="C18" s="1"/>
      <c r="D18" s="1"/>
      <c r="E18" s="12"/>
      <c r="F18" s="5"/>
      <c r="G18" s="7"/>
      <c r="H18" s="7"/>
      <c r="I18" s="1"/>
      <c r="J18" s="1"/>
    </row>
    <row r="19" spans="1:12" x14ac:dyDescent="0.2">
      <c r="A19" s="1">
        <v>107</v>
      </c>
      <c r="B19" s="1" t="s">
        <v>17</v>
      </c>
      <c r="C19" s="1"/>
      <c r="D19" s="1">
        <f>E19*35/12</f>
        <v>10365.833333333334</v>
      </c>
      <c r="E19" s="12">
        <v>3554</v>
      </c>
      <c r="F19" s="5" t="s">
        <v>18</v>
      </c>
      <c r="G19" s="6" t="s">
        <v>18</v>
      </c>
      <c r="H19" s="6" t="s">
        <v>18</v>
      </c>
      <c r="I19" s="1" t="s">
        <v>18</v>
      </c>
      <c r="J19" s="1" t="s">
        <v>18</v>
      </c>
      <c r="K19">
        <f>(D19*12)/E19</f>
        <v>35</v>
      </c>
    </row>
    <row r="20" spans="1:12" x14ac:dyDescent="0.2">
      <c r="A20" s="1"/>
      <c r="B20" s="1"/>
      <c r="C20" s="1"/>
      <c r="D20" s="1">
        <v>888.5</v>
      </c>
      <c r="E20" s="12"/>
      <c r="F20" s="5"/>
      <c r="G20" s="7"/>
      <c r="H20" s="7"/>
      <c r="I20" s="1"/>
      <c r="J20" s="1"/>
    </row>
    <row r="21" spans="1:12" x14ac:dyDescent="0.2">
      <c r="A21" s="1">
        <v>108</v>
      </c>
      <c r="B21" s="1" t="s">
        <v>19</v>
      </c>
      <c r="C21" s="1">
        <v>5330</v>
      </c>
      <c r="D21" s="1">
        <v>4797</v>
      </c>
      <c r="E21" s="11">
        <v>2132</v>
      </c>
      <c r="F21" s="2">
        <v>44505</v>
      </c>
      <c r="G21" s="3" t="s">
        <v>2</v>
      </c>
      <c r="H21" s="4">
        <v>45108</v>
      </c>
      <c r="I21" s="1" t="s">
        <v>2</v>
      </c>
      <c r="J21" s="1" t="s">
        <v>3</v>
      </c>
      <c r="K21">
        <f>(D21*12)/E21</f>
        <v>27</v>
      </c>
    </row>
    <row r="22" spans="1:12" x14ac:dyDescent="0.2">
      <c r="A22" s="1"/>
      <c r="B22" s="1"/>
      <c r="C22" s="1"/>
      <c r="D22" s="1">
        <v>533</v>
      </c>
      <c r="E22" s="11"/>
      <c r="F22" s="2"/>
      <c r="G22" s="3"/>
      <c r="H22" s="3"/>
      <c r="I22" s="1"/>
      <c r="J22" s="1"/>
    </row>
    <row r="23" spans="1:12" x14ac:dyDescent="0.2">
      <c r="A23" s="1">
        <v>109</v>
      </c>
      <c r="B23" s="1" t="s">
        <v>20</v>
      </c>
      <c r="C23" s="1">
        <v>5738</v>
      </c>
      <c r="D23" s="1">
        <v>5737.5</v>
      </c>
      <c r="E23" s="11">
        <v>2550</v>
      </c>
      <c r="F23" s="2">
        <v>44886</v>
      </c>
      <c r="G23" s="3" t="s">
        <v>6</v>
      </c>
      <c r="H23" s="4">
        <v>45372</v>
      </c>
      <c r="I23" s="1" t="s">
        <v>6</v>
      </c>
      <c r="J23" s="1" t="s">
        <v>16</v>
      </c>
      <c r="K23">
        <f>(D23*12)/E23</f>
        <v>27</v>
      </c>
    </row>
    <row r="24" spans="1:12" x14ac:dyDescent="0.2">
      <c r="A24" s="1"/>
      <c r="B24" s="1"/>
      <c r="C24" s="1"/>
      <c r="D24" s="1">
        <v>637.5</v>
      </c>
      <c r="E24" s="11"/>
      <c r="F24" s="8">
        <v>45006</v>
      </c>
      <c r="G24" s="3"/>
      <c r="H24" s="3"/>
      <c r="I24" s="1"/>
      <c r="J24" s="1"/>
    </row>
    <row r="25" spans="1:12" x14ac:dyDescent="0.2">
      <c r="A25" s="1">
        <v>110</v>
      </c>
      <c r="B25" s="1" t="s">
        <v>32</v>
      </c>
      <c r="C25" s="1">
        <v>17602.349999999999</v>
      </c>
      <c r="D25" s="1">
        <v>5257.9533333333329</v>
      </c>
      <c r="E25" s="11">
        <v>2438</v>
      </c>
      <c r="F25" s="2">
        <v>44868</v>
      </c>
      <c r="G25" s="3" t="s">
        <v>2</v>
      </c>
      <c r="H25" s="4">
        <v>45354</v>
      </c>
      <c r="I25" s="1" t="s">
        <v>2</v>
      </c>
      <c r="J25" s="1" t="s">
        <v>3</v>
      </c>
      <c r="K25">
        <f>(D25*12)/E25</f>
        <v>25.88</v>
      </c>
    </row>
    <row r="26" spans="1:12" x14ac:dyDescent="0.2">
      <c r="A26" s="1"/>
      <c r="B26" s="1"/>
      <c r="C26" s="1"/>
      <c r="D26" s="1">
        <v>609.5</v>
      </c>
      <c r="E26" s="11"/>
      <c r="F26" s="8">
        <v>44623</v>
      </c>
      <c r="G26" s="3"/>
      <c r="H26" s="3"/>
      <c r="I26" s="1"/>
      <c r="J26" s="1"/>
    </row>
    <row r="27" spans="1:12" x14ac:dyDescent="0.2">
      <c r="A27" s="1" t="s">
        <v>21</v>
      </c>
      <c r="B27" s="1" t="s">
        <v>22</v>
      </c>
      <c r="C27" s="1">
        <v>9840</v>
      </c>
      <c r="D27" s="1">
        <v>8992.4166666666661</v>
      </c>
      <c r="E27" s="11">
        <v>3721</v>
      </c>
      <c r="F27" s="2">
        <v>44958</v>
      </c>
      <c r="G27" s="3" t="s">
        <v>2</v>
      </c>
      <c r="H27" s="3">
        <v>45597</v>
      </c>
      <c r="I27" s="1" t="s">
        <v>2</v>
      </c>
      <c r="J27" s="1" t="s">
        <v>3</v>
      </c>
      <c r="K27">
        <f>(D27*12)/E27</f>
        <v>29</v>
      </c>
    </row>
    <row r="28" spans="1:12" x14ac:dyDescent="0.2">
      <c r="A28" s="1"/>
      <c r="B28" s="1"/>
      <c r="C28" s="1"/>
      <c r="D28" s="1">
        <v>930.25</v>
      </c>
      <c r="E28" s="11"/>
      <c r="F28" s="9">
        <v>45231</v>
      </c>
      <c r="G28" s="3"/>
      <c r="H28" s="10"/>
      <c r="I28" s="1"/>
      <c r="J28" s="1"/>
    </row>
    <row r="29" spans="1:12" x14ac:dyDescent="0.2">
      <c r="K29">
        <f>AVERAGE(K4:K27)</f>
        <v>29.955978327101622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 Gonzalez</dc:creator>
  <cp:lastModifiedBy>Nick Gonzalez</cp:lastModifiedBy>
  <dcterms:created xsi:type="dcterms:W3CDTF">2024-05-13T15:25:12Z</dcterms:created>
  <dcterms:modified xsi:type="dcterms:W3CDTF">2025-02-05T22:11:37Z</dcterms:modified>
</cp:coreProperties>
</file>