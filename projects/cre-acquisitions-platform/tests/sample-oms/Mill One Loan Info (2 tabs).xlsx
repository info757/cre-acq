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My Documents\Payment Calculations\"/>
    </mc:Choice>
  </mc:AlternateContent>
  <bookViews>
    <workbookView xWindow="0" yWindow="45" windowWidth="15360" windowHeight="8325"/>
  </bookViews>
  <sheets>
    <sheet name="5018241446" sheetId="7" r:id="rId1"/>
    <sheet name="5018814729" sheetId="9" r:id="rId2"/>
  </sheets>
  <definedNames>
    <definedName name="Beg_Bal" localSheetId="1">#REF!</definedName>
    <definedName name="Beg_Bal">#REF!</definedName>
    <definedName name="Data" localSheetId="1">#REF!</definedName>
    <definedName name="Data">#REF!</definedName>
    <definedName name="End_Bal" localSheetId="1">#REF!</definedName>
    <definedName name="End_Bal">#REF!</definedName>
    <definedName name="Extra_Pay" localSheetId="1">#REF!</definedName>
    <definedName name="Extra_Pay">#REF!</definedName>
    <definedName name="Freq" localSheetId="1">#REF!</definedName>
    <definedName name="Freq">#REF!</definedName>
    <definedName name="Frequency" localSheetId="1">#REF!</definedName>
    <definedName name="Frequency">#REF!</definedName>
    <definedName name="Full_Print" localSheetId="1">#REF!</definedName>
    <definedName name="Full_Print">#REF!</definedName>
    <definedName name="Header_Row" localSheetId="1">ROW(#REF!)</definedName>
    <definedName name="Header_Row">ROW(#REF!)</definedName>
    <definedName name="Int" localSheetId="1">#REF!</definedName>
    <definedName name="Int">#REF!</definedName>
    <definedName name="Interest_Rate" localSheetId="1">#REF!</definedName>
    <definedName name="Interest_Rate">#REF!</definedName>
    <definedName name="Last_Row" localSheetId="1">IF('5018814729'!Values_Entered,'5018814729'!Header_Row+'5018814729'!Number_of_Payments,'5018814729'!Header_Row)</definedName>
    <definedName name="Last_Row">IF(Values_Entered,Header_Row+Number_of_Payments,Header_Row)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Num_Pmt_Per_Year" localSheetId="1">#REF!</definedName>
    <definedName name="Num_Pmt_Per_Year">#REF!</definedName>
    <definedName name="Number_of_Payments" localSheetId="1">MATCH(0.01,'5018814729'!End_Bal,-1)+1</definedName>
    <definedName name="Number_of_Payments">MATCH(0.01,End_Bal,-1)+1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 localSheetId="1">DATE(YEAR('5018814729'!Loan_Start),MONTH('5018814729'!Loan_Start)+Payment_Number,DAY('5018814729'!Loan_Start))</definedName>
    <definedName name="Payment_Date">DATE(YEAR(Loan_Start),MONTH(Loan_Start)+Payment_Number,DAY(Loan_Start))</definedName>
    <definedName name="Princ" localSheetId="1">#REF!</definedName>
    <definedName name="Princ">#REF!</definedName>
    <definedName name="Print_Area_Reset" localSheetId="1">OFFSET('5018814729'!Full_Print,0,0,'5018814729'!Last_Row)</definedName>
    <definedName name="Print_Area_Reset">OFFSET(Full_Print,0,0,Last_Row)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 localSheetId="1">#REF!</definedName>
    <definedName name="Scheduled_Monthly_Payment">#REF!</definedName>
    <definedName name="Total_Interest" localSheetId="1">#REF!</definedName>
    <definedName name="Total_Interest">#REF!</definedName>
    <definedName name="Total_Pay" localSheetId="1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Values_Entered" localSheetId="1">IF('5018814729'!Loan_Amount*'5018814729'!Interest_Rate*'5018814729'!Loan_Years*'5018814729'!Loan_Start&gt;0,1,0)</definedName>
    <definedName name="Values_Entered">IF(Loan_Amount*Interest_Rate*Loan_Years*Loan_Start&gt;0,1,0)</definedName>
  </definedNames>
  <calcPr calcId="162913"/>
</workbook>
</file>

<file path=xl/calcChain.xml><?xml version="1.0" encoding="utf-8"?>
<calcChain xmlns="http://schemas.openxmlformats.org/spreadsheetml/2006/main">
  <c r="C86" i="9" l="1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E3" i="9"/>
  <c r="C3" i="9"/>
  <c r="G3" i="9" l="1"/>
  <c r="H3" i="9" s="1"/>
  <c r="I3" i="9" s="1"/>
  <c r="E4" i="9" s="1"/>
  <c r="G4" i="9" s="1"/>
  <c r="H4" i="9" s="1"/>
  <c r="I4" i="9" s="1"/>
  <c r="F86" i="7"/>
  <c r="I49" i="7"/>
  <c r="E50" i="7" s="1"/>
  <c r="G50" i="7" s="1"/>
  <c r="H50" i="7" s="1"/>
  <c r="H49" i="7"/>
  <c r="G49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I15" i="7"/>
  <c r="H4" i="7"/>
  <c r="H3" i="7"/>
  <c r="G4" i="7"/>
  <c r="G3" i="7"/>
  <c r="E16" i="7"/>
  <c r="G16" i="7" s="1"/>
  <c r="H16" i="7" s="1"/>
  <c r="I16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3" i="7"/>
  <c r="E5" i="9" l="1"/>
  <c r="G5" i="9" s="1"/>
  <c r="H5" i="9" s="1"/>
  <c r="I5" i="9" s="1"/>
  <c r="I50" i="7"/>
  <c r="E17" i="7"/>
  <c r="G17" i="7" s="1"/>
  <c r="H17" i="7" s="1"/>
  <c r="I17" i="7" s="1"/>
  <c r="E3" i="7"/>
  <c r="E6" i="9" l="1"/>
  <c r="G6" i="9" s="1"/>
  <c r="H6" i="9" s="1"/>
  <c r="I6" i="9" s="1"/>
  <c r="E51" i="7"/>
  <c r="G51" i="7" s="1"/>
  <c r="H51" i="7" s="1"/>
  <c r="I51" i="7"/>
  <c r="E18" i="7"/>
  <c r="G18" i="7" s="1"/>
  <c r="H18" i="7" s="1"/>
  <c r="I18" i="7"/>
  <c r="E7" i="9" l="1"/>
  <c r="G7" i="9" s="1"/>
  <c r="H7" i="9" s="1"/>
  <c r="I7" i="9" s="1"/>
  <c r="E52" i="7"/>
  <c r="G52" i="7" s="1"/>
  <c r="H52" i="7" s="1"/>
  <c r="I52" i="7"/>
  <c r="E19" i="7"/>
  <c r="G19" i="7" s="1"/>
  <c r="H19" i="7" s="1"/>
  <c r="I19" i="7"/>
  <c r="I3" i="7"/>
  <c r="E4" i="7" s="1"/>
  <c r="I4" i="7" s="1"/>
  <c r="E5" i="7" s="1"/>
  <c r="E8" i="9" l="1"/>
  <c r="G8" i="9" s="1"/>
  <c r="H8" i="9" s="1"/>
  <c r="I8" i="9" s="1"/>
  <c r="E53" i="7"/>
  <c r="G53" i="7" s="1"/>
  <c r="H53" i="7" s="1"/>
  <c r="I53" i="7" s="1"/>
  <c r="E20" i="7"/>
  <c r="G20" i="7" s="1"/>
  <c r="H20" i="7" s="1"/>
  <c r="I20" i="7" s="1"/>
  <c r="G5" i="7"/>
  <c r="E9" i="9" l="1"/>
  <c r="G9" i="9" s="1"/>
  <c r="H9" i="9" s="1"/>
  <c r="I9" i="9" s="1"/>
  <c r="E54" i="7"/>
  <c r="G54" i="7" s="1"/>
  <c r="H54" i="7" s="1"/>
  <c r="I54" i="7" s="1"/>
  <c r="E21" i="7"/>
  <c r="G21" i="7" s="1"/>
  <c r="H21" i="7" s="1"/>
  <c r="I21" i="7" s="1"/>
  <c r="H5" i="7"/>
  <c r="I5" i="7" s="1"/>
  <c r="E6" i="7" s="1"/>
  <c r="G6" i="7" s="1"/>
  <c r="E10" i="9" l="1"/>
  <c r="G10" i="9" s="1"/>
  <c r="H10" i="9" s="1"/>
  <c r="I10" i="9" s="1"/>
  <c r="E55" i="7"/>
  <c r="G55" i="7" s="1"/>
  <c r="H55" i="7" s="1"/>
  <c r="I55" i="7" s="1"/>
  <c r="E22" i="7"/>
  <c r="G22" i="7" s="1"/>
  <c r="H22" i="7" s="1"/>
  <c r="I22" i="7" s="1"/>
  <c r="H6" i="7"/>
  <c r="I6" i="7" s="1"/>
  <c r="E7" i="7" s="1"/>
  <c r="G7" i="7" s="1"/>
  <c r="E11" i="9" l="1"/>
  <c r="G11" i="9" s="1"/>
  <c r="H11" i="9" s="1"/>
  <c r="I11" i="9" s="1"/>
  <c r="E56" i="7"/>
  <c r="G56" i="7" s="1"/>
  <c r="H56" i="7" s="1"/>
  <c r="I56" i="7" s="1"/>
  <c r="E23" i="7"/>
  <c r="G23" i="7" s="1"/>
  <c r="H23" i="7" s="1"/>
  <c r="I23" i="7" s="1"/>
  <c r="H7" i="7"/>
  <c r="I7" i="7" s="1"/>
  <c r="E8" i="7" s="1"/>
  <c r="G8" i="7" s="1"/>
  <c r="E12" i="9" l="1"/>
  <c r="G12" i="9" s="1"/>
  <c r="H12" i="9" s="1"/>
  <c r="I12" i="9" s="1"/>
  <c r="E57" i="7"/>
  <c r="G57" i="7" s="1"/>
  <c r="H57" i="7" s="1"/>
  <c r="I57" i="7" s="1"/>
  <c r="E24" i="7"/>
  <c r="G24" i="7" s="1"/>
  <c r="H24" i="7" s="1"/>
  <c r="I24" i="7"/>
  <c r="H8" i="7"/>
  <c r="I8" i="7" s="1"/>
  <c r="E9" i="7" s="1"/>
  <c r="G9" i="7" s="1"/>
  <c r="E13" i="9" l="1"/>
  <c r="G13" i="9" s="1"/>
  <c r="H13" i="9" s="1"/>
  <c r="I13" i="9" s="1"/>
  <c r="E58" i="7"/>
  <c r="G58" i="7" s="1"/>
  <c r="H58" i="7" s="1"/>
  <c r="I58" i="7"/>
  <c r="E25" i="7"/>
  <c r="G25" i="7" s="1"/>
  <c r="H25" i="7" s="1"/>
  <c r="I25" i="7"/>
  <c r="H9" i="7"/>
  <c r="I9" i="7" s="1"/>
  <c r="E10" i="7" s="1"/>
  <c r="G10" i="7" s="1"/>
  <c r="E14" i="9" l="1"/>
  <c r="G14" i="9" s="1"/>
  <c r="H14" i="9" s="1"/>
  <c r="I14" i="9" s="1"/>
  <c r="E59" i="7"/>
  <c r="G59" i="7" s="1"/>
  <c r="H59" i="7" s="1"/>
  <c r="I59" i="7" s="1"/>
  <c r="E26" i="7"/>
  <c r="G26" i="7" s="1"/>
  <c r="H26" i="7" s="1"/>
  <c r="I26" i="7"/>
  <c r="H10" i="7"/>
  <c r="I10" i="7" s="1"/>
  <c r="E11" i="7" s="1"/>
  <c r="G11" i="7" s="1"/>
  <c r="E15" i="9" l="1"/>
  <c r="G15" i="9" s="1"/>
  <c r="H15" i="9" s="1"/>
  <c r="I15" i="9" s="1"/>
  <c r="E60" i="7"/>
  <c r="G60" i="7" s="1"/>
  <c r="H60" i="7" s="1"/>
  <c r="I60" i="7" s="1"/>
  <c r="E27" i="7"/>
  <c r="G27" i="7" s="1"/>
  <c r="H27" i="7" s="1"/>
  <c r="I27" i="7"/>
  <c r="H11" i="7"/>
  <c r="I11" i="7" s="1"/>
  <c r="E12" i="7" s="1"/>
  <c r="G12" i="7" s="1"/>
  <c r="E16" i="9" l="1"/>
  <c r="G16" i="9" s="1"/>
  <c r="H16" i="9" s="1"/>
  <c r="I16" i="9" s="1"/>
  <c r="E61" i="7"/>
  <c r="G61" i="7" s="1"/>
  <c r="H61" i="7" s="1"/>
  <c r="I61" i="7"/>
  <c r="E28" i="7"/>
  <c r="G28" i="7" s="1"/>
  <c r="H28" i="7" s="1"/>
  <c r="I28" i="7"/>
  <c r="H12" i="7"/>
  <c r="I12" i="7" s="1"/>
  <c r="E13" i="7" s="1"/>
  <c r="G13" i="7" s="1"/>
  <c r="E17" i="9" l="1"/>
  <c r="G17" i="9" s="1"/>
  <c r="H17" i="9" s="1"/>
  <c r="I17" i="9" s="1"/>
  <c r="E62" i="7"/>
  <c r="G62" i="7" s="1"/>
  <c r="H62" i="7" s="1"/>
  <c r="I62" i="7" s="1"/>
  <c r="E29" i="7"/>
  <c r="G29" i="7" s="1"/>
  <c r="H29" i="7" s="1"/>
  <c r="I29" i="7"/>
  <c r="H13" i="7"/>
  <c r="I13" i="7" s="1"/>
  <c r="E14" i="7" s="1"/>
  <c r="G14" i="7" s="1"/>
  <c r="H14" i="7" s="1"/>
  <c r="E18" i="9" l="1"/>
  <c r="G18" i="9" s="1"/>
  <c r="H18" i="9" s="1"/>
  <c r="I18" i="9" s="1"/>
  <c r="E63" i="7"/>
  <c r="G63" i="7" s="1"/>
  <c r="H63" i="7" s="1"/>
  <c r="I63" i="7" s="1"/>
  <c r="E30" i="7"/>
  <c r="G30" i="7" s="1"/>
  <c r="H30" i="7" s="1"/>
  <c r="I30" i="7"/>
  <c r="I14" i="7"/>
  <c r="E15" i="7" s="1"/>
  <c r="G15" i="7" s="1"/>
  <c r="H15" i="7" s="1"/>
  <c r="E19" i="9" l="1"/>
  <c r="G19" i="9" s="1"/>
  <c r="H19" i="9" s="1"/>
  <c r="I19" i="9" s="1"/>
  <c r="E64" i="7"/>
  <c r="G64" i="7" s="1"/>
  <c r="H64" i="7" s="1"/>
  <c r="I64" i="7"/>
  <c r="E31" i="7"/>
  <c r="G31" i="7" s="1"/>
  <c r="H31" i="7" s="1"/>
  <c r="I31" i="7" s="1"/>
  <c r="E20" i="9" l="1"/>
  <c r="G20" i="9" s="1"/>
  <c r="H20" i="9" s="1"/>
  <c r="I20" i="9" s="1"/>
  <c r="E65" i="7"/>
  <c r="G65" i="7" s="1"/>
  <c r="H65" i="7" s="1"/>
  <c r="I65" i="7"/>
  <c r="E32" i="7"/>
  <c r="G32" i="7" s="1"/>
  <c r="H32" i="7" s="1"/>
  <c r="I32" i="7" s="1"/>
  <c r="E21" i="9" l="1"/>
  <c r="G21" i="9" s="1"/>
  <c r="H21" i="9" s="1"/>
  <c r="I21" i="9" s="1"/>
  <c r="E66" i="7"/>
  <c r="G66" i="7" s="1"/>
  <c r="H66" i="7" s="1"/>
  <c r="I66" i="7" s="1"/>
  <c r="E33" i="7"/>
  <c r="G33" i="7" s="1"/>
  <c r="H33" i="7" s="1"/>
  <c r="I33" i="7" s="1"/>
  <c r="E22" i="9" l="1"/>
  <c r="G22" i="9" s="1"/>
  <c r="H22" i="9" s="1"/>
  <c r="I22" i="9" s="1"/>
  <c r="E67" i="7"/>
  <c r="G67" i="7" s="1"/>
  <c r="H67" i="7" s="1"/>
  <c r="I67" i="7" s="1"/>
  <c r="E34" i="7"/>
  <c r="G34" i="7" s="1"/>
  <c r="H34" i="7" s="1"/>
  <c r="I34" i="7" s="1"/>
  <c r="E23" i="9" l="1"/>
  <c r="G23" i="9" s="1"/>
  <c r="H23" i="9" s="1"/>
  <c r="I23" i="9" s="1"/>
  <c r="E68" i="7"/>
  <c r="G68" i="7" s="1"/>
  <c r="H68" i="7" s="1"/>
  <c r="I68" i="7"/>
  <c r="E35" i="7"/>
  <c r="G35" i="7" s="1"/>
  <c r="H35" i="7" s="1"/>
  <c r="I35" i="7" s="1"/>
  <c r="E24" i="9" l="1"/>
  <c r="G24" i="9" s="1"/>
  <c r="H24" i="9" s="1"/>
  <c r="I24" i="9" s="1"/>
  <c r="E69" i="7"/>
  <c r="G69" i="7" s="1"/>
  <c r="H69" i="7" s="1"/>
  <c r="I69" i="7" s="1"/>
  <c r="E36" i="7"/>
  <c r="G36" i="7" s="1"/>
  <c r="H36" i="7" s="1"/>
  <c r="I36" i="7" s="1"/>
  <c r="E25" i="9" l="1"/>
  <c r="G25" i="9" s="1"/>
  <c r="H25" i="9" s="1"/>
  <c r="I25" i="9" s="1"/>
  <c r="E70" i="7"/>
  <c r="G70" i="7" s="1"/>
  <c r="H70" i="7" s="1"/>
  <c r="I70" i="7" s="1"/>
  <c r="E37" i="7"/>
  <c r="G37" i="7" s="1"/>
  <c r="H37" i="7" s="1"/>
  <c r="I37" i="7" s="1"/>
  <c r="E26" i="9" l="1"/>
  <c r="G26" i="9" s="1"/>
  <c r="H26" i="9" s="1"/>
  <c r="I26" i="9" s="1"/>
  <c r="E71" i="7"/>
  <c r="G71" i="7" s="1"/>
  <c r="H71" i="7" s="1"/>
  <c r="I71" i="7" s="1"/>
  <c r="E38" i="7"/>
  <c r="G38" i="7" s="1"/>
  <c r="H38" i="7" s="1"/>
  <c r="I38" i="7" s="1"/>
  <c r="E27" i="9" l="1"/>
  <c r="G27" i="9" s="1"/>
  <c r="H27" i="9" s="1"/>
  <c r="I27" i="9" s="1"/>
  <c r="E72" i="7"/>
  <c r="G72" i="7" s="1"/>
  <c r="H72" i="7" s="1"/>
  <c r="I72" i="7" s="1"/>
  <c r="E39" i="7"/>
  <c r="G39" i="7" s="1"/>
  <c r="H39" i="7" s="1"/>
  <c r="I39" i="7" s="1"/>
  <c r="E28" i="9" l="1"/>
  <c r="G28" i="9" s="1"/>
  <c r="H28" i="9" s="1"/>
  <c r="I28" i="9" s="1"/>
  <c r="E73" i="7"/>
  <c r="G73" i="7" s="1"/>
  <c r="H73" i="7" s="1"/>
  <c r="I73" i="7" s="1"/>
  <c r="E40" i="7"/>
  <c r="G40" i="7" s="1"/>
  <c r="H40" i="7" s="1"/>
  <c r="I40" i="7" s="1"/>
  <c r="E29" i="9" l="1"/>
  <c r="G29" i="9" s="1"/>
  <c r="H29" i="9" s="1"/>
  <c r="I29" i="9" s="1"/>
  <c r="E74" i="7"/>
  <c r="G74" i="7" s="1"/>
  <c r="H74" i="7" s="1"/>
  <c r="I74" i="7"/>
  <c r="E41" i="7"/>
  <c r="G41" i="7" s="1"/>
  <c r="H41" i="7" s="1"/>
  <c r="I41" i="7"/>
  <c r="E30" i="9" l="1"/>
  <c r="G30" i="9" s="1"/>
  <c r="H30" i="9" s="1"/>
  <c r="I30" i="9" s="1"/>
  <c r="E75" i="7"/>
  <c r="G75" i="7" s="1"/>
  <c r="H75" i="7" s="1"/>
  <c r="I75" i="7" s="1"/>
  <c r="E42" i="7"/>
  <c r="G42" i="7" s="1"/>
  <c r="H42" i="7" s="1"/>
  <c r="I42" i="7"/>
  <c r="E31" i="9" l="1"/>
  <c r="G31" i="9" s="1"/>
  <c r="H31" i="9" s="1"/>
  <c r="I31" i="9" s="1"/>
  <c r="E76" i="7"/>
  <c r="G76" i="7" s="1"/>
  <c r="H76" i="7" s="1"/>
  <c r="I76" i="7"/>
  <c r="E43" i="7"/>
  <c r="G43" i="7" s="1"/>
  <c r="H43" i="7" s="1"/>
  <c r="I43" i="7"/>
  <c r="E32" i="9" l="1"/>
  <c r="G32" i="9" s="1"/>
  <c r="H32" i="9" s="1"/>
  <c r="I32" i="9" s="1"/>
  <c r="E77" i="7"/>
  <c r="G77" i="7" s="1"/>
  <c r="H77" i="7" s="1"/>
  <c r="I77" i="7" s="1"/>
  <c r="E44" i="7"/>
  <c r="G44" i="7" s="1"/>
  <c r="H44" i="7" s="1"/>
  <c r="I44" i="7"/>
  <c r="E33" i="9" l="1"/>
  <c r="G33" i="9" s="1"/>
  <c r="H33" i="9" s="1"/>
  <c r="I33" i="9" s="1"/>
  <c r="E78" i="7"/>
  <c r="G78" i="7" s="1"/>
  <c r="H78" i="7" s="1"/>
  <c r="I78" i="7" s="1"/>
  <c r="E45" i="7"/>
  <c r="G45" i="7" s="1"/>
  <c r="H45" i="7" s="1"/>
  <c r="I45" i="7"/>
  <c r="E34" i="9" l="1"/>
  <c r="G34" i="9" s="1"/>
  <c r="H34" i="9" s="1"/>
  <c r="I34" i="9" s="1"/>
  <c r="E79" i="7"/>
  <c r="G79" i="7" s="1"/>
  <c r="H79" i="7" s="1"/>
  <c r="I79" i="7" s="1"/>
  <c r="E46" i="7"/>
  <c r="G46" i="7" s="1"/>
  <c r="H46" i="7" s="1"/>
  <c r="I46" i="7"/>
  <c r="E35" i="9" l="1"/>
  <c r="G35" i="9" s="1"/>
  <c r="H35" i="9" s="1"/>
  <c r="I35" i="9" s="1"/>
  <c r="E80" i="7"/>
  <c r="G80" i="7" s="1"/>
  <c r="H80" i="7" s="1"/>
  <c r="I80" i="7" s="1"/>
  <c r="E47" i="7"/>
  <c r="G47" i="7" s="1"/>
  <c r="H47" i="7" s="1"/>
  <c r="I47" i="7" s="1"/>
  <c r="E36" i="9" l="1"/>
  <c r="G36" i="9" s="1"/>
  <c r="H36" i="9" s="1"/>
  <c r="I36" i="9" s="1"/>
  <c r="E81" i="7"/>
  <c r="G81" i="7" s="1"/>
  <c r="H81" i="7" s="1"/>
  <c r="I81" i="7" s="1"/>
  <c r="E48" i="7"/>
  <c r="G48" i="7" s="1"/>
  <c r="H48" i="7" s="1"/>
  <c r="I48" i="7" s="1"/>
  <c r="E49" i="7" s="1"/>
  <c r="E37" i="9" l="1"/>
  <c r="G37" i="9" s="1"/>
  <c r="H37" i="9" s="1"/>
  <c r="I37" i="9" s="1"/>
  <c r="E82" i="7"/>
  <c r="G82" i="7" s="1"/>
  <c r="H82" i="7" s="1"/>
  <c r="I82" i="7" s="1"/>
  <c r="E38" i="9" l="1"/>
  <c r="G38" i="9" s="1"/>
  <c r="H38" i="9" s="1"/>
  <c r="I38" i="9" s="1"/>
  <c r="E83" i="7"/>
  <c r="G83" i="7" s="1"/>
  <c r="H83" i="7" s="1"/>
  <c r="I83" i="7" s="1"/>
  <c r="E39" i="9" l="1"/>
  <c r="G39" i="9" s="1"/>
  <c r="H39" i="9" s="1"/>
  <c r="I39" i="9" s="1"/>
  <c r="E84" i="7"/>
  <c r="G84" i="7" s="1"/>
  <c r="H84" i="7" s="1"/>
  <c r="I84" i="7"/>
  <c r="E40" i="9" l="1"/>
  <c r="G40" i="9" s="1"/>
  <c r="H40" i="9" s="1"/>
  <c r="I40" i="9" s="1"/>
  <c r="E85" i="7"/>
  <c r="G85" i="7" s="1"/>
  <c r="H85" i="7" s="1"/>
  <c r="I85" i="7" s="1"/>
  <c r="E41" i="9" l="1"/>
  <c r="G41" i="9" s="1"/>
  <c r="H41" i="9" s="1"/>
  <c r="I41" i="9" s="1"/>
  <c r="E86" i="7"/>
  <c r="G86" i="7" s="1"/>
  <c r="H86" i="7" s="1"/>
  <c r="I86" i="7" s="1"/>
  <c r="E42" i="9" l="1"/>
  <c r="G42" i="9" s="1"/>
  <c r="H42" i="9" s="1"/>
  <c r="I42" i="9" s="1"/>
  <c r="E43" i="9" l="1"/>
  <c r="G43" i="9" s="1"/>
  <c r="H43" i="9" s="1"/>
  <c r="I43" i="9" s="1"/>
  <c r="E44" i="9" l="1"/>
  <c r="G44" i="9" s="1"/>
  <c r="H44" i="9" s="1"/>
  <c r="I44" i="9" s="1"/>
  <c r="E45" i="9" l="1"/>
  <c r="G45" i="9" s="1"/>
  <c r="H45" i="9" s="1"/>
  <c r="I45" i="9" s="1"/>
  <c r="E46" i="9" l="1"/>
  <c r="G46" i="9" s="1"/>
  <c r="H46" i="9" s="1"/>
  <c r="I46" i="9" s="1"/>
  <c r="E47" i="9" l="1"/>
  <c r="G47" i="9" s="1"/>
  <c r="H47" i="9" s="1"/>
  <c r="I47" i="9" s="1"/>
  <c r="E48" i="9" l="1"/>
  <c r="G48" i="9" s="1"/>
  <c r="H48" i="9" s="1"/>
  <c r="I48" i="9" s="1"/>
  <c r="E49" i="9" l="1"/>
  <c r="G49" i="9" s="1"/>
  <c r="H49" i="9" s="1"/>
  <c r="I49" i="9" s="1"/>
  <c r="E50" i="9" l="1"/>
  <c r="G50" i="9" s="1"/>
  <c r="H50" i="9" s="1"/>
  <c r="I50" i="9" s="1"/>
  <c r="E51" i="9" l="1"/>
  <c r="G51" i="9" s="1"/>
  <c r="H51" i="9" s="1"/>
  <c r="I51" i="9" s="1"/>
  <c r="E52" i="9" l="1"/>
  <c r="G52" i="9" s="1"/>
  <c r="H52" i="9" s="1"/>
  <c r="I52" i="9" s="1"/>
  <c r="E53" i="9" l="1"/>
  <c r="G53" i="9" s="1"/>
  <c r="H53" i="9" s="1"/>
  <c r="I53" i="9" s="1"/>
  <c r="E54" i="9" l="1"/>
  <c r="G54" i="9" s="1"/>
  <c r="H54" i="9" s="1"/>
  <c r="I54" i="9" s="1"/>
  <c r="E55" i="9" l="1"/>
  <c r="G55" i="9" s="1"/>
  <c r="H55" i="9" s="1"/>
  <c r="I55" i="9" s="1"/>
  <c r="E56" i="9" l="1"/>
  <c r="G56" i="9" s="1"/>
  <c r="H56" i="9" s="1"/>
  <c r="I56" i="9" s="1"/>
  <c r="E57" i="9" l="1"/>
  <c r="G57" i="9" s="1"/>
  <c r="H57" i="9" s="1"/>
  <c r="I57" i="9" s="1"/>
  <c r="E58" i="9" l="1"/>
  <c r="G58" i="9" s="1"/>
  <c r="H58" i="9" s="1"/>
  <c r="I58" i="9" s="1"/>
  <c r="E59" i="9" l="1"/>
  <c r="G59" i="9" s="1"/>
  <c r="H59" i="9" s="1"/>
  <c r="I59" i="9" s="1"/>
  <c r="E60" i="9" l="1"/>
  <c r="G60" i="9" s="1"/>
  <c r="H60" i="9" s="1"/>
  <c r="I60" i="9" s="1"/>
  <c r="E61" i="9" l="1"/>
  <c r="G61" i="9" s="1"/>
  <c r="H61" i="9" s="1"/>
  <c r="I61" i="9" s="1"/>
  <c r="E62" i="9" l="1"/>
  <c r="G62" i="9" s="1"/>
  <c r="H62" i="9" s="1"/>
  <c r="I62" i="9" s="1"/>
  <c r="E63" i="9" l="1"/>
  <c r="G63" i="9" s="1"/>
  <c r="H63" i="9" s="1"/>
  <c r="I63" i="9" s="1"/>
  <c r="E64" i="9" l="1"/>
  <c r="G64" i="9" s="1"/>
  <c r="H64" i="9" s="1"/>
  <c r="I64" i="9" s="1"/>
  <c r="E65" i="9" l="1"/>
  <c r="G65" i="9" s="1"/>
  <c r="H65" i="9" s="1"/>
  <c r="I65" i="9" s="1"/>
  <c r="E66" i="9" l="1"/>
  <c r="G66" i="9" s="1"/>
  <c r="H66" i="9" s="1"/>
  <c r="I66" i="9" s="1"/>
  <c r="E67" i="9" l="1"/>
  <c r="G67" i="9" s="1"/>
  <c r="H67" i="9" s="1"/>
  <c r="I67" i="9" s="1"/>
  <c r="E68" i="9" l="1"/>
  <c r="G68" i="9" s="1"/>
  <c r="H68" i="9" s="1"/>
  <c r="I68" i="9" s="1"/>
  <c r="E69" i="9" l="1"/>
  <c r="G69" i="9" s="1"/>
  <c r="H69" i="9" s="1"/>
  <c r="I69" i="9" s="1"/>
  <c r="E70" i="9" l="1"/>
  <c r="G70" i="9" s="1"/>
  <c r="H70" i="9" s="1"/>
  <c r="I70" i="9" s="1"/>
  <c r="E71" i="9" l="1"/>
  <c r="G71" i="9" s="1"/>
  <c r="H71" i="9" s="1"/>
  <c r="I71" i="9" s="1"/>
  <c r="E72" i="9" l="1"/>
  <c r="G72" i="9" s="1"/>
  <c r="H72" i="9" s="1"/>
  <c r="I72" i="9" s="1"/>
  <c r="E73" i="9" l="1"/>
  <c r="G73" i="9" s="1"/>
  <c r="H73" i="9" s="1"/>
  <c r="I73" i="9" s="1"/>
  <c r="E74" i="9" l="1"/>
  <c r="G74" i="9" s="1"/>
  <c r="H74" i="9" s="1"/>
  <c r="I74" i="9" s="1"/>
  <c r="E75" i="9" l="1"/>
  <c r="G75" i="9" s="1"/>
  <c r="H75" i="9" s="1"/>
  <c r="I75" i="9" s="1"/>
  <c r="E76" i="9" l="1"/>
  <c r="G76" i="9" s="1"/>
  <c r="H76" i="9" s="1"/>
  <c r="I76" i="9" s="1"/>
  <c r="E77" i="9" l="1"/>
  <c r="G77" i="9" s="1"/>
  <c r="H77" i="9" s="1"/>
  <c r="I77" i="9" s="1"/>
  <c r="E78" i="9" l="1"/>
  <c r="G78" i="9" s="1"/>
  <c r="H78" i="9" s="1"/>
  <c r="I78" i="9" s="1"/>
  <c r="E79" i="9" l="1"/>
  <c r="G79" i="9" s="1"/>
  <c r="H79" i="9" s="1"/>
  <c r="I79" i="9" s="1"/>
  <c r="E80" i="9" l="1"/>
  <c r="G80" i="9" s="1"/>
  <c r="H80" i="9" s="1"/>
  <c r="I80" i="9" s="1"/>
  <c r="E81" i="9" l="1"/>
  <c r="G81" i="9" s="1"/>
  <c r="H81" i="9" s="1"/>
  <c r="I81" i="9" s="1"/>
  <c r="E82" i="9" l="1"/>
  <c r="G82" i="9" s="1"/>
  <c r="H82" i="9" s="1"/>
  <c r="I82" i="9" s="1"/>
  <c r="E83" i="9" l="1"/>
  <c r="G83" i="9" s="1"/>
  <c r="H83" i="9" s="1"/>
  <c r="I83" i="9" s="1"/>
  <c r="E84" i="9" l="1"/>
  <c r="G84" i="9" s="1"/>
  <c r="H84" i="9" s="1"/>
  <c r="I84" i="9" s="1"/>
  <c r="E85" i="9" l="1"/>
  <c r="G85" i="9" s="1"/>
  <c r="H85" i="9" s="1"/>
  <c r="I85" i="9" s="1"/>
  <c r="E86" i="9" l="1"/>
  <c r="G86" i="9" s="1"/>
  <c r="H86" i="9" s="1"/>
  <c r="I86" i="9" s="1"/>
</calcChain>
</file>

<file path=xl/sharedStrings.xml><?xml version="1.0" encoding="utf-8"?>
<sst xmlns="http://schemas.openxmlformats.org/spreadsheetml/2006/main" count="18" uniqueCount="9">
  <si>
    <t>Rate</t>
  </si>
  <si>
    <t>Interest</t>
  </si>
  <si>
    <t>Principal</t>
  </si>
  <si>
    <t>Balance</t>
  </si>
  <si>
    <t>Per Diem</t>
  </si>
  <si>
    <t>Date Due</t>
  </si>
  <si>
    <t>Date Paid</t>
  </si>
  <si>
    <t>#days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</si>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</sst>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0.000%"/>
  </numFmts>
  <fonts count="5">
    <font>
      <sz val="11"/>
      <color indexed="8"/>
      <name val="Helvetica Neue"/>
    </font>
    <font>
      <sz val="10"/>
      <color indexed="9"/>
      <name val="Arial"/>
      <family val="2"/>
    </font>
    <font>
      <sz val="8"/>
      <name val="Helvetica Neue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Fill="0" applyBorder="0" applyProtection="0">
      <alignment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 applyAlignment="1"/>
    <xf numFmtId="0" fontId="3" fillId="0" borderId="0" xfId="0" applyFont="1">
      <alignment vertical="top"/>
    </xf>
    <xf numFmtId="0" fontId="3" fillId="0" borderId="0" xfId="0" applyFont="1" applyAlignment="1">
      <alignment horizontal="center"/>
    </xf>
    <xf numFmtId="2" fontId="3" fillId="0" borderId="0" xfId="0" applyNumberFormat="1" applyFont="1">
      <alignment vertical="top"/>
    </xf>
    <xf numFmtId="0" fontId="4" fillId="0" borderId="0" xfId="0" applyFont="1" applyAlignment="1"/>
    <xf numFmtId="0" fontId="4" fillId="0" borderId="0" xfId="0" applyFont="1" applyBorder="1" applyAlignment="1"/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center"/>
    </xf>
    <xf numFmtId="10" fontId="4" fillId="0" borderId="0" xfId="2" applyNumberFormat="1" applyFont="1"/>
    <xf numFmtId="43" fontId="4" fillId="0" borderId="0" xfId="1" applyFont="1" applyAlignment="1">
      <alignment vertical="top"/>
    </xf>
    <xf numFmtId="43" fontId="4" fillId="0" borderId="0" xfId="1" applyFont="1"/>
    <xf numFmtId="43" fontId="4" fillId="0" borderId="0" xfId="1" applyFont="1" applyAlignment="1"/>
    <xf numFmtId="14" fontId="4" fillId="0" borderId="0" xfId="0" applyNumberFormat="1" applyFont="1" applyAlignment="1"/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FFFFFF"/>
      <rgbColor rgb="00C0C0C0"/>
      <rgbColor rgb="00FFFFFF"/>
      <rgbColor rgb="000000D4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workbookViewId="0">
      <selection activeCell="E9" sqref="E9"/>
    </sheetView>
  </sheetViews>
  <sheetFormatPr defaultColWidth="9" defaultRowHeight="12.75"/>
  <cols>
    <col min="1" max="1" width="9.125" style="4" bestFit="1" customWidth="1"/>
    <col min="2" max="2" width="7.375" style="4" bestFit="1" customWidth="1"/>
    <col min="3" max="3" width="4.625" style="4" bestFit="1" customWidth="1"/>
    <col min="4" max="4" width="5.875" style="4" bestFit="1" customWidth="1"/>
    <col min="5" max="5" width="7.875" style="4" bestFit="1" customWidth="1"/>
    <col min="6" max="6" width="11.75" style="4" bestFit="1" customWidth="1"/>
    <col min="7" max="7" width="8.75" style="4" bestFit="1" customWidth="1"/>
    <col min="8" max="9" width="11.75" style="4" bestFit="1" customWidth="1"/>
    <col min="10" max="16384" width="9" style="4"/>
  </cols>
  <sheetData>
    <row r="1" spans="1:10" s="5" customFormat="1">
      <c r="A1" s="1" t="s">
        <v>5</v>
      </c>
      <c r="B1" s="1" t="s">
        <v>6</v>
      </c>
      <c r="C1" s="2" t="s">
        <v>7</v>
      </c>
      <c r="D1" s="1" t="s">
        <v>0</v>
      </c>
      <c r="E1" s="1" t="s">
        <v>4</v>
      </c>
      <c r="F1" s="3" t="s">
        <v>8</v>
      </c>
      <c r="G1" s="1" t="s">
        <v>1</v>
      </c>
      <c r="H1" s="1" t="s">
        <v>2</v>
      </c>
      <c r="I1" s="1" t="s">
        <v>3</v>
      </c>
    </row>
    <row r="2" spans="1:10" s="5" customFormat="1">
      <c r="A2" s="13">
        <v>45741</v>
      </c>
      <c r="B2" s="6"/>
      <c r="C2" s="7"/>
      <c r="D2" s="8"/>
      <c r="E2" s="9"/>
      <c r="F2" s="9"/>
      <c r="G2" s="9"/>
      <c r="H2" s="9"/>
      <c r="I2" s="10">
        <v>17221003</v>
      </c>
    </row>
    <row r="3" spans="1:10">
      <c r="A3" s="12">
        <v>45772</v>
      </c>
      <c r="B3" s="14"/>
      <c r="C3" s="7">
        <f>A3-A2</f>
        <v>31</v>
      </c>
      <c r="D3" s="15">
        <v>4.1250000000000002E-2</v>
      </c>
      <c r="E3" s="9">
        <f>I2*D3/360</f>
        <v>1973.2399270833334</v>
      </c>
      <c r="F3" s="11">
        <v>84072.12</v>
      </c>
      <c r="G3" s="11">
        <f>C3*E3</f>
        <v>61170.437739583336</v>
      </c>
      <c r="H3" s="9">
        <f>F3-G3</f>
        <v>22901.682260416659</v>
      </c>
      <c r="I3" s="11">
        <f>I2-H3</f>
        <v>17198101.317739584</v>
      </c>
      <c r="J3" s="11"/>
    </row>
    <row r="4" spans="1:10">
      <c r="A4" s="14">
        <v>45802</v>
      </c>
      <c r="B4" s="12"/>
      <c r="C4" s="7">
        <f t="shared" ref="C4:C67" si="0">A4-A3</f>
        <v>30</v>
      </c>
      <c r="D4" s="15">
        <v>4.1250000000000002E-2</v>
      </c>
      <c r="E4" s="9">
        <f t="shared" ref="E4:E67" si="1">I3*D4/360</f>
        <v>1970.6157759909943</v>
      </c>
      <c r="F4" s="11">
        <v>84072.12</v>
      </c>
      <c r="G4" s="11">
        <f t="shared" ref="G4:G67" si="2">C4*E4</f>
        <v>59118.473279729827</v>
      </c>
      <c r="H4" s="9">
        <f t="shared" ref="H4:H67" si="3">F4-G4</f>
        <v>24953.646720270168</v>
      </c>
      <c r="I4" s="11">
        <f t="shared" ref="I4:I67" si="4">I3-H4</f>
        <v>17173147.671019312</v>
      </c>
      <c r="J4" s="11"/>
    </row>
    <row r="5" spans="1:10">
      <c r="A5" s="12">
        <v>45833</v>
      </c>
      <c r="B5" s="12"/>
      <c r="C5" s="7">
        <f t="shared" si="0"/>
        <v>31</v>
      </c>
      <c r="D5" s="15">
        <v>4.1250000000000002E-2</v>
      </c>
      <c r="E5" s="9">
        <f t="shared" si="1"/>
        <v>1967.756503970963</v>
      </c>
      <c r="F5" s="11">
        <v>84072.12</v>
      </c>
      <c r="G5" s="11">
        <f t="shared" si="2"/>
        <v>61000.451623099849</v>
      </c>
      <c r="H5" s="9">
        <f t="shared" si="3"/>
        <v>23071.668376900147</v>
      </c>
      <c r="I5" s="11">
        <f t="shared" si="4"/>
        <v>17150076.002642412</v>
      </c>
      <c r="J5" s="11"/>
    </row>
    <row r="6" spans="1:10">
      <c r="A6" s="14">
        <v>45863</v>
      </c>
      <c r="B6" s="12"/>
      <c r="C6" s="7">
        <f t="shared" si="0"/>
        <v>30</v>
      </c>
      <c r="D6" s="15">
        <v>4.1250000000000002E-2</v>
      </c>
      <c r="E6" s="9">
        <f t="shared" si="1"/>
        <v>1965.1128753027765</v>
      </c>
      <c r="F6" s="11">
        <v>84072.12</v>
      </c>
      <c r="G6" s="11">
        <f t="shared" si="2"/>
        <v>58953.386259083294</v>
      </c>
      <c r="H6" s="9">
        <f t="shared" si="3"/>
        <v>25118.733740916701</v>
      </c>
      <c r="I6" s="11">
        <f t="shared" si="4"/>
        <v>17124957.268901493</v>
      </c>
      <c r="J6" s="11"/>
    </row>
    <row r="7" spans="1:10">
      <c r="A7" s="12">
        <v>45894</v>
      </c>
      <c r="B7" s="12"/>
      <c r="C7" s="7">
        <f t="shared" si="0"/>
        <v>31</v>
      </c>
      <c r="D7" s="15">
        <v>4.1250000000000002E-2</v>
      </c>
      <c r="E7" s="9">
        <f t="shared" si="1"/>
        <v>1962.2346870616295</v>
      </c>
      <c r="F7" s="11">
        <v>84072.12</v>
      </c>
      <c r="G7" s="11">
        <f t="shared" si="2"/>
        <v>60829.275298910514</v>
      </c>
      <c r="H7" s="9">
        <f t="shared" si="3"/>
        <v>23242.844701089482</v>
      </c>
      <c r="I7" s="11">
        <f t="shared" si="4"/>
        <v>17101714.424200404</v>
      </c>
      <c r="J7" s="11"/>
    </row>
    <row r="8" spans="1:10">
      <c r="A8" s="14">
        <v>45925</v>
      </c>
      <c r="B8" s="12"/>
      <c r="C8" s="7">
        <f t="shared" si="0"/>
        <v>31</v>
      </c>
      <c r="D8" s="15">
        <v>4.1250000000000002E-2</v>
      </c>
      <c r="E8" s="9">
        <f t="shared" si="1"/>
        <v>1959.5714444396297</v>
      </c>
      <c r="F8" s="11">
        <v>84072.12</v>
      </c>
      <c r="G8" s="11">
        <f t="shared" si="2"/>
        <v>60746.71477762852</v>
      </c>
      <c r="H8" s="9">
        <f t="shared" si="3"/>
        <v>23325.405222371475</v>
      </c>
      <c r="I8" s="11">
        <f t="shared" si="4"/>
        <v>17078389.018978033</v>
      </c>
      <c r="J8" s="11"/>
    </row>
    <row r="9" spans="1:10">
      <c r="A9" s="12">
        <v>45955</v>
      </c>
      <c r="B9" s="12"/>
      <c r="C9" s="7">
        <f t="shared" si="0"/>
        <v>30</v>
      </c>
      <c r="D9" s="15">
        <v>4.1250000000000002E-2</v>
      </c>
      <c r="E9" s="9">
        <f t="shared" si="1"/>
        <v>1956.8987417578999</v>
      </c>
      <c r="F9" s="11">
        <v>84072.12</v>
      </c>
      <c r="G9" s="11">
        <f t="shared" si="2"/>
        <v>58706.962252736994</v>
      </c>
      <c r="H9" s="9">
        <f t="shared" si="3"/>
        <v>25365.157747263002</v>
      </c>
      <c r="I9" s="11">
        <f t="shared" si="4"/>
        <v>17053023.861230772</v>
      </c>
      <c r="J9" s="11"/>
    </row>
    <row r="10" spans="1:10">
      <c r="A10" s="14">
        <v>45986</v>
      </c>
      <c r="B10" s="12"/>
      <c r="C10" s="7">
        <f t="shared" si="0"/>
        <v>31</v>
      </c>
      <c r="D10" s="15">
        <v>4.1250000000000002E-2</v>
      </c>
      <c r="E10" s="9">
        <f t="shared" si="1"/>
        <v>1953.9923174326925</v>
      </c>
      <c r="F10" s="11">
        <v>84072.12</v>
      </c>
      <c r="G10" s="11">
        <f t="shared" si="2"/>
        <v>60573.76184041347</v>
      </c>
      <c r="H10" s="9">
        <f t="shared" si="3"/>
        <v>23498.358159586525</v>
      </c>
      <c r="I10" s="11">
        <f t="shared" si="4"/>
        <v>17029525.503071185</v>
      </c>
      <c r="J10" s="11"/>
    </row>
    <row r="11" spans="1:10">
      <c r="A11" s="12">
        <v>46016</v>
      </c>
      <c r="B11" s="12"/>
      <c r="C11" s="7">
        <f t="shared" si="0"/>
        <v>30</v>
      </c>
      <c r="D11" s="15">
        <v>4.1250000000000002E-2</v>
      </c>
      <c r="E11" s="9">
        <f t="shared" si="1"/>
        <v>1951.2997972269068</v>
      </c>
      <c r="F11" s="11">
        <v>84072.12</v>
      </c>
      <c r="G11" s="11">
        <f t="shared" si="2"/>
        <v>58538.993916807201</v>
      </c>
      <c r="H11" s="9">
        <f t="shared" si="3"/>
        <v>25533.126083192794</v>
      </c>
      <c r="I11" s="11">
        <f t="shared" si="4"/>
        <v>17003992.376987994</v>
      </c>
      <c r="J11" s="11"/>
    </row>
    <row r="12" spans="1:10">
      <c r="A12" s="14">
        <v>46047</v>
      </c>
      <c r="B12" s="12"/>
      <c r="C12" s="7">
        <f t="shared" si="0"/>
        <v>31</v>
      </c>
      <c r="D12" s="15">
        <v>4.1250000000000002E-2</v>
      </c>
      <c r="E12" s="9">
        <f t="shared" si="1"/>
        <v>1948.3741265298743</v>
      </c>
      <c r="F12" s="11">
        <v>84072.12</v>
      </c>
      <c r="G12" s="11">
        <f t="shared" si="2"/>
        <v>60399.597922426103</v>
      </c>
      <c r="H12" s="9">
        <f t="shared" si="3"/>
        <v>23672.522077573893</v>
      </c>
      <c r="I12" s="11">
        <f t="shared" si="4"/>
        <v>16980319.854910418</v>
      </c>
      <c r="J12" s="11"/>
    </row>
    <row r="13" spans="1:10">
      <c r="A13" s="12">
        <v>46078</v>
      </c>
      <c r="B13" s="12"/>
      <c r="C13" s="7">
        <f t="shared" si="0"/>
        <v>31</v>
      </c>
      <c r="D13" s="15">
        <v>4.1250000000000002E-2</v>
      </c>
      <c r="E13" s="9">
        <f t="shared" si="1"/>
        <v>1945.661650041819</v>
      </c>
      <c r="F13" s="11">
        <v>84072.12</v>
      </c>
      <c r="G13" s="11">
        <f t="shared" si="2"/>
        <v>60315.511151296392</v>
      </c>
      <c r="H13" s="9">
        <f t="shared" si="3"/>
        <v>23756.608848703603</v>
      </c>
      <c r="I13" s="11">
        <f t="shared" si="4"/>
        <v>16956563.246061716</v>
      </c>
      <c r="J13" s="11"/>
    </row>
    <row r="14" spans="1:10">
      <c r="A14" s="14">
        <v>46106</v>
      </c>
      <c r="B14" s="12"/>
      <c r="C14" s="7">
        <f t="shared" si="0"/>
        <v>28</v>
      </c>
      <c r="D14" s="15">
        <v>4.1250000000000002E-2</v>
      </c>
      <c r="E14" s="9">
        <f t="shared" si="1"/>
        <v>1942.9395386112385</v>
      </c>
      <c r="F14" s="11">
        <v>84072.12</v>
      </c>
      <c r="G14" s="11">
        <f t="shared" si="2"/>
        <v>54402.307081114675</v>
      </c>
      <c r="H14" s="9">
        <f t="shared" si="3"/>
        <v>29669.81291888532</v>
      </c>
      <c r="I14" s="11">
        <f t="shared" si="4"/>
        <v>16926893.43314283</v>
      </c>
      <c r="J14" s="11"/>
    </row>
    <row r="15" spans="1:10">
      <c r="A15" s="12">
        <v>46137</v>
      </c>
      <c r="C15" s="7">
        <f t="shared" si="0"/>
        <v>31</v>
      </c>
      <c r="D15" s="15">
        <v>4.1250000000000002E-2</v>
      </c>
      <c r="E15" s="9">
        <f t="shared" si="1"/>
        <v>1939.5398725476161</v>
      </c>
      <c r="F15" s="11">
        <v>84072.12</v>
      </c>
      <c r="G15" s="11">
        <f t="shared" si="2"/>
        <v>60125.736048976098</v>
      </c>
      <c r="H15" s="9">
        <f t="shared" si="3"/>
        <v>23946.383951023898</v>
      </c>
      <c r="I15" s="11">
        <f t="shared" si="4"/>
        <v>16902947.049191806</v>
      </c>
      <c r="J15" s="11"/>
    </row>
    <row r="16" spans="1:10">
      <c r="A16" s="14">
        <v>46167</v>
      </c>
      <c r="C16" s="7">
        <f t="shared" si="0"/>
        <v>30</v>
      </c>
      <c r="D16" s="15">
        <v>4.1250000000000002E-2</v>
      </c>
      <c r="E16" s="9">
        <f t="shared" si="1"/>
        <v>1936.796016053228</v>
      </c>
      <c r="F16" s="11">
        <v>84072.12</v>
      </c>
      <c r="G16" s="11">
        <f t="shared" si="2"/>
        <v>58103.88048159684</v>
      </c>
      <c r="H16" s="9">
        <f t="shared" si="3"/>
        <v>25968.239518403156</v>
      </c>
      <c r="I16" s="11">
        <f t="shared" si="4"/>
        <v>16876978.809673402</v>
      </c>
      <c r="J16" s="11"/>
    </row>
    <row r="17" spans="1:9">
      <c r="A17" s="12">
        <v>46198</v>
      </c>
      <c r="C17" s="7">
        <f t="shared" si="0"/>
        <v>31</v>
      </c>
      <c r="D17" s="15">
        <v>4.1250000000000002E-2</v>
      </c>
      <c r="E17" s="9">
        <f t="shared" si="1"/>
        <v>1933.8204886084109</v>
      </c>
      <c r="F17" s="11">
        <v>84072.12</v>
      </c>
      <c r="G17" s="11">
        <f t="shared" si="2"/>
        <v>59948.435146860735</v>
      </c>
      <c r="H17" s="9">
        <f t="shared" si="3"/>
        <v>24123.684853139261</v>
      </c>
      <c r="I17" s="11">
        <f t="shared" si="4"/>
        <v>16852855.124820262</v>
      </c>
    </row>
    <row r="18" spans="1:9">
      <c r="A18" s="14">
        <v>46228</v>
      </c>
      <c r="C18" s="7">
        <f t="shared" si="0"/>
        <v>30</v>
      </c>
      <c r="D18" s="15">
        <v>4.1250000000000002E-2</v>
      </c>
      <c r="E18" s="9">
        <f t="shared" si="1"/>
        <v>1931.0563163856552</v>
      </c>
      <c r="F18" s="11">
        <v>84072.12</v>
      </c>
      <c r="G18" s="11">
        <f t="shared" si="2"/>
        <v>57931.689491569654</v>
      </c>
      <c r="H18" s="9">
        <f t="shared" si="3"/>
        <v>26140.430508430341</v>
      </c>
      <c r="I18" s="11">
        <f t="shared" si="4"/>
        <v>16826714.694311831</v>
      </c>
    </row>
    <row r="19" spans="1:9">
      <c r="A19" s="12">
        <v>46259</v>
      </c>
      <c r="C19" s="7">
        <f t="shared" si="0"/>
        <v>31</v>
      </c>
      <c r="D19" s="15">
        <v>4.1250000000000002E-2</v>
      </c>
      <c r="E19" s="9">
        <f t="shared" si="1"/>
        <v>1928.0610587232306</v>
      </c>
      <c r="F19" s="11">
        <v>84072.12</v>
      </c>
      <c r="G19" s="11">
        <f t="shared" si="2"/>
        <v>59769.892820420151</v>
      </c>
      <c r="H19" s="9">
        <f t="shared" si="3"/>
        <v>24302.227179579844</v>
      </c>
      <c r="I19" s="11">
        <f t="shared" si="4"/>
        <v>16802412.467132252</v>
      </c>
    </row>
    <row r="20" spans="1:9">
      <c r="A20" s="14">
        <v>46290</v>
      </c>
      <c r="C20" s="7">
        <f t="shared" si="0"/>
        <v>31</v>
      </c>
      <c r="D20" s="15">
        <v>4.1250000000000002E-2</v>
      </c>
      <c r="E20" s="9">
        <f t="shared" si="1"/>
        <v>1925.2764285255705</v>
      </c>
      <c r="F20" s="11">
        <v>84072.12</v>
      </c>
      <c r="G20" s="11">
        <f t="shared" si="2"/>
        <v>59683.569284292687</v>
      </c>
      <c r="H20" s="9">
        <f t="shared" si="3"/>
        <v>24388.550715707308</v>
      </c>
      <c r="I20" s="11">
        <f t="shared" si="4"/>
        <v>16778023.916416544</v>
      </c>
    </row>
    <row r="21" spans="1:9">
      <c r="A21" s="12">
        <v>46320</v>
      </c>
      <c r="C21" s="7">
        <f t="shared" si="0"/>
        <v>30</v>
      </c>
      <c r="D21" s="15">
        <v>4.1250000000000002E-2</v>
      </c>
      <c r="E21" s="9">
        <f t="shared" si="1"/>
        <v>1922.4819070893957</v>
      </c>
      <c r="F21" s="11">
        <v>84072.12</v>
      </c>
      <c r="G21" s="11">
        <f t="shared" si="2"/>
        <v>57674.457212681868</v>
      </c>
      <c r="H21" s="9">
        <f t="shared" si="3"/>
        <v>26397.662787318128</v>
      </c>
      <c r="I21" s="11">
        <f t="shared" si="4"/>
        <v>16751626.253629226</v>
      </c>
    </row>
    <row r="22" spans="1:9">
      <c r="A22" s="14">
        <v>46351</v>
      </c>
      <c r="C22" s="7">
        <f t="shared" si="0"/>
        <v>31</v>
      </c>
      <c r="D22" s="15">
        <v>4.1250000000000002E-2</v>
      </c>
      <c r="E22" s="9">
        <f t="shared" si="1"/>
        <v>1919.4571748950157</v>
      </c>
      <c r="F22" s="11">
        <v>84072.12</v>
      </c>
      <c r="G22" s="11">
        <f t="shared" si="2"/>
        <v>59503.172421745483</v>
      </c>
      <c r="H22" s="9">
        <f t="shared" si="3"/>
        <v>24568.947578254512</v>
      </c>
      <c r="I22" s="11">
        <f t="shared" si="4"/>
        <v>16727057.306050971</v>
      </c>
    </row>
    <row r="23" spans="1:9">
      <c r="A23" s="12">
        <v>46381</v>
      </c>
      <c r="C23" s="7">
        <f t="shared" si="0"/>
        <v>30</v>
      </c>
      <c r="D23" s="15">
        <v>4.1250000000000002E-2</v>
      </c>
      <c r="E23" s="9">
        <f t="shared" si="1"/>
        <v>1916.6419829850072</v>
      </c>
      <c r="F23" s="11">
        <v>84072.12</v>
      </c>
      <c r="G23" s="11">
        <f t="shared" si="2"/>
        <v>57499.259489550219</v>
      </c>
      <c r="H23" s="9">
        <f t="shared" si="3"/>
        <v>26572.860510449776</v>
      </c>
      <c r="I23" s="11">
        <f t="shared" si="4"/>
        <v>16700484.445540521</v>
      </c>
    </row>
    <row r="24" spans="1:9">
      <c r="A24" s="14">
        <v>46412</v>
      </c>
      <c r="C24" s="7">
        <f t="shared" si="0"/>
        <v>31</v>
      </c>
      <c r="D24" s="15">
        <v>4.1250000000000002E-2</v>
      </c>
      <c r="E24" s="9">
        <f t="shared" si="1"/>
        <v>1913.5971760515181</v>
      </c>
      <c r="F24" s="11">
        <v>84072.12</v>
      </c>
      <c r="G24" s="11">
        <f t="shared" si="2"/>
        <v>59321.512457597062</v>
      </c>
      <c r="H24" s="9">
        <f t="shared" si="3"/>
        <v>24750.607542402933</v>
      </c>
      <c r="I24" s="11">
        <f t="shared" si="4"/>
        <v>16675733.837998118</v>
      </c>
    </row>
    <row r="25" spans="1:9">
      <c r="A25" s="12">
        <v>46443</v>
      </c>
      <c r="C25" s="7">
        <f t="shared" si="0"/>
        <v>31</v>
      </c>
      <c r="D25" s="15">
        <v>4.1250000000000002E-2</v>
      </c>
      <c r="E25" s="9">
        <f t="shared" si="1"/>
        <v>1910.7611689372845</v>
      </c>
      <c r="F25" s="11">
        <v>84072.12</v>
      </c>
      <c r="G25" s="11">
        <f t="shared" si="2"/>
        <v>59233.596237055819</v>
      </c>
      <c r="H25" s="9">
        <f t="shared" si="3"/>
        <v>24838.523762944176</v>
      </c>
      <c r="I25" s="11">
        <f t="shared" si="4"/>
        <v>16650895.314235173</v>
      </c>
    </row>
    <row r="26" spans="1:9">
      <c r="A26" s="14">
        <v>46471</v>
      </c>
      <c r="C26" s="7">
        <f t="shared" si="0"/>
        <v>28</v>
      </c>
      <c r="D26" s="15">
        <v>4.1250000000000002E-2</v>
      </c>
      <c r="E26" s="9">
        <f t="shared" si="1"/>
        <v>1907.9150880894472</v>
      </c>
      <c r="F26" s="11">
        <v>84072.12</v>
      </c>
      <c r="G26" s="11">
        <f t="shared" si="2"/>
        <v>53421.622466504523</v>
      </c>
      <c r="H26" s="9">
        <f t="shared" si="3"/>
        <v>30650.497533495472</v>
      </c>
      <c r="I26" s="11">
        <f t="shared" si="4"/>
        <v>16620244.816701679</v>
      </c>
    </row>
    <row r="27" spans="1:9">
      <c r="A27" s="12">
        <v>46502</v>
      </c>
      <c r="C27" s="7">
        <f t="shared" si="0"/>
        <v>31</v>
      </c>
      <c r="D27" s="15">
        <v>4.1250000000000002E-2</v>
      </c>
      <c r="E27" s="9">
        <f t="shared" si="1"/>
        <v>1904.4030519137341</v>
      </c>
      <c r="F27" s="11">
        <v>84072.12</v>
      </c>
      <c r="G27" s="11">
        <f t="shared" si="2"/>
        <v>59036.49460932576</v>
      </c>
      <c r="H27" s="9">
        <f t="shared" si="3"/>
        <v>25035.625390674235</v>
      </c>
      <c r="I27" s="11">
        <f t="shared" si="4"/>
        <v>16595209.191311004</v>
      </c>
    </row>
    <row r="28" spans="1:9">
      <c r="A28" s="14">
        <v>46532</v>
      </c>
      <c r="C28" s="7">
        <f t="shared" si="0"/>
        <v>30</v>
      </c>
      <c r="D28" s="15">
        <v>4.1250000000000002E-2</v>
      </c>
      <c r="E28" s="9">
        <f t="shared" si="1"/>
        <v>1901.5343865043858</v>
      </c>
      <c r="F28" s="11">
        <v>84072.12</v>
      </c>
      <c r="G28" s="11">
        <f t="shared" si="2"/>
        <v>57046.031595131572</v>
      </c>
      <c r="H28" s="9">
        <f t="shared" si="3"/>
        <v>27026.088404868424</v>
      </c>
      <c r="I28" s="11">
        <f t="shared" si="4"/>
        <v>16568183.102906136</v>
      </c>
    </row>
    <row r="29" spans="1:9">
      <c r="A29" s="12">
        <v>46563</v>
      </c>
      <c r="C29" s="7">
        <f t="shared" si="0"/>
        <v>31</v>
      </c>
      <c r="D29" s="15">
        <v>4.1250000000000002E-2</v>
      </c>
      <c r="E29" s="9">
        <f t="shared" si="1"/>
        <v>1898.4376472079948</v>
      </c>
      <c r="F29" s="11">
        <v>84072.12</v>
      </c>
      <c r="G29" s="11">
        <f t="shared" si="2"/>
        <v>58851.567063447837</v>
      </c>
      <c r="H29" s="9">
        <f t="shared" si="3"/>
        <v>25220.552936552158</v>
      </c>
      <c r="I29" s="11">
        <f t="shared" si="4"/>
        <v>16542962.549969584</v>
      </c>
    </row>
    <row r="30" spans="1:9">
      <c r="A30" s="14">
        <v>46593</v>
      </c>
      <c r="C30" s="7">
        <f t="shared" si="0"/>
        <v>30</v>
      </c>
      <c r="D30" s="15">
        <v>4.1250000000000002E-2</v>
      </c>
      <c r="E30" s="9">
        <f t="shared" si="1"/>
        <v>1895.547792184015</v>
      </c>
      <c r="F30" s="11">
        <v>84072.12</v>
      </c>
      <c r="G30" s="11">
        <f t="shared" si="2"/>
        <v>56866.433765520451</v>
      </c>
      <c r="H30" s="9">
        <f t="shared" si="3"/>
        <v>27205.686234479545</v>
      </c>
      <c r="I30" s="11">
        <f t="shared" si="4"/>
        <v>16515756.863735104</v>
      </c>
    </row>
    <row r="31" spans="1:9">
      <c r="A31" s="12">
        <v>46624</v>
      </c>
      <c r="C31" s="7">
        <f t="shared" si="0"/>
        <v>31</v>
      </c>
      <c r="D31" s="15">
        <v>4.1250000000000002E-2</v>
      </c>
      <c r="E31" s="9">
        <f t="shared" si="1"/>
        <v>1892.4304739696474</v>
      </c>
      <c r="F31" s="11">
        <v>84072.12</v>
      </c>
      <c r="G31" s="11">
        <f t="shared" si="2"/>
        <v>58665.344693059073</v>
      </c>
      <c r="H31" s="9">
        <f t="shared" si="3"/>
        <v>25406.775306940923</v>
      </c>
      <c r="I31" s="11">
        <f t="shared" si="4"/>
        <v>16490350.088428164</v>
      </c>
    </row>
    <row r="32" spans="1:9">
      <c r="A32" s="14">
        <v>46655</v>
      </c>
      <c r="C32" s="7">
        <f t="shared" si="0"/>
        <v>31</v>
      </c>
      <c r="D32" s="15">
        <v>4.1250000000000002E-2</v>
      </c>
      <c r="E32" s="9">
        <f t="shared" si="1"/>
        <v>1889.5192809657271</v>
      </c>
      <c r="F32" s="11">
        <v>84072.12</v>
      </c>
      <c r="G32" s="11">
        <f t="shared" si="2"/>
        <v>58575.097709937545</v>
      </c>
      <c r="H32" s="9">
        <f t="shared" si="3"/>
        <v>25497.02229006245</v>
      </c>
      <c r="I32" s="11">
        <f t="shared" si="4"/>
        <v>16464853.066138102</v>
      </c>
    </row>
    <row r="33" spans="1:9">
      <c r="A33" s="12">
        <v>46685</v>
      </c>
      <c r="C33" s="7">
        <f t="shared" si="0"/>
        <v>30</v>
      </c>
      <c r="D33" s="15">
        <v>4.1250000000000002E-2</v>
      </c>
      <c r="E33" s="9">
        <f t="shared" si="1"/>
        <v>1886.5977471616575</v>
      </c>
      <c r="F33" s="11">
        <v>84072.12</v>
      </c>
      <c r="G33" s="11">
        <f t="shared" si="2"/>
        <v>56597.932414849725</v>
      </c>
      <c r="H33" s="9">
        <f t="shared" si="3"/>
        <v>27474.18758515027</v>
      </c>
      <c r="I33" s="11">
        <f t="shared" si="4"/>
        <v>16437378.878552951</v>
      </c>
    </row>
    <row r="34" spans="1:9">
      <c r="A34" s="14">
        <v>46716</v>
      </c>
      <c r="C34" s="7">
        <f t="shared" si="0"/>
        <v>31</v>
      </c>
      <c r="D34" s="15">
        <v>4.1250000000000002E-2</v>
      </c>
      <c r="E34" s="9">
        <f t="shared" si="1"/>
        <v>1883.4496631675258</v>
      </c>
      <c r="F34" s="11">
        <v>84072.12</v>
      </c>
      <c r="G34" s="11">
        <f t="shared" si="2"/>
        <v>58386.939558193299</v>
      </c>
      <c r="H34" s="9">
        <f t="shared" si="3"/>
        <v>25685.180441806697</v>
      </c>
      <c r="I34" s="11">
        <f t="shared" si="4"/>
        <v>16411693.698111145</v>
      </c>
    </row>
    <row r="35" spans="1:9">
      <c r="A35" s="12">
        <v>46746</v>
      </c>
      <c r="C35" s="7">
        <f t="shared" si="0"/>
        <v>30</v>
      </c>
      <c r="D35" s="15">
        <v>4.1250000000000002E-2</v>
      </c>
      <c r="E35" s="9">
        <f t="shared" si="1"/>
        <v>1880.5065695752355</v>
      </c>
      <c r="F35" s="11">
        <v>84072.12</v>
      </c>
      <c r="G35" s="11">
        <f t="shared" si="2"/>
        <v>56415.197087257067</v>
      </c>
      <c r="H35" s="9">
        <f t="shared" si="3"/>
        <v>27656.922912742928</v>
      </c>
      <c r="I35" s="11">
        <f t="shared" si="4"/>
        <v>16384036.775198402</v>
      </c>
    </row>
    <row r="36" spans="1:9">
      <c r="A36" s="14">
        <v>46777</v>
      </c>
      <c r="C36" s="7">
        <f t="shared" si="0"/>
        <v>31</v>
      </c>
      <c r="D36" s="15">
        <v>4.1250000000000002E-2</v>
      </c>
      <c r="E36" s="9">
        <f t="shared" si="1"/>
        <v>1877.3375471581505</v>
      </c>
      <c r="F36" s="11">
        <v>84072.12</v>
      </c>
      <c r="G36" s="11">
        <f t="shared" si="2"/>
        <v>58197.463961902664</v>
      </c>
      <c r="H36" s="9">
        <f t="shared" si="3"/>
        <v>25874.656038097331</v>
      </c>
      <c r="I36" s="11">
        <f t="shared" si="4"/>
        <v>16358162.119160304</v>
      </c>
    </row>
    <row r="37" spans="1:9">
      <c r="A37" s="12">
        <v>46808</v>
      </c>
      <c r="C37" s="7">
        <f t="shared" si="0"/>
        <v>31</v>
      </c>
      <c r="D37" s="15">
        <v>4.1250000000000002E-2</v>
      </c>
      <c r="E37" s="9">
        <f t="shared" si="1"/>
        <v>1874.3727428204515</v>
      </c>
      <c r="F37" s="11">
        <v>84072.12</v>
      </c>
      <c r="G37" s="11">
        <f t="shared" si="2"/>
        <v>58105.555027433998</v>
      </c>
      <c r="H37" s="9">
        <f t="shared" si="3"/>
        <v>25966.564972565997</v>
      </c>
      <c r="I37" s="11">
        <f t="shared" si="4"/>
        <v>16332195.554187737</v>
      </c>
    </row>
    <row r="38" spans="1:9">
      <c r="A38" s="14">
        <v>46837</v>
      </c>
      <c r="C38" s="7">
        <f t="shared" si="0"/>
        <v>29</v>
      </c>
      <c r="D38" s="15">
        <v>4.1250000000000002E-2</v>
      </c>
      <c r="E38" s="9">
        <f t="shared" si="1"/>
        <v>1871.3974072506785</v>
      </c>
      <c r="F38" s="11">
        <v>84072.12</v>
      </c>
      <c r="G38" s="11">
        <f t="shared" si="2"/>
        <v>54270.524810269679</v>
      </c>
      <c r="H38" s="9">
        <f t="shared" si="3"/>
        <v>29801.595189730317</v>
      </c>
      <c r="I38" s="11">
        <f t="shared" si="4"/>
        <v>16302393.958998008</v>
      </c>
    </row>
    <row r="39" spans="1:9">
      <c r="A39" s="12">
        <v>46868</v>
      </c>
      <c r="C39" s="7">
        <f t="shared" si="0"/>
        <v>31</v>
      </c>
      <c r="D39" s="15">
        <v>4.1250000000000002E-2</v>
      </c>
      <c r="E39" s="9">
        <f t="shared" si="1"/>
        <v>1867.9826411351885</v>
      </c>
      <c r="F39" s="11">
        <v>84072.12</v>
      </c>
      <c r="G39" s="11">
        <f t="shared" si="2"/>
        <v>57907.461875190842</v>
      </c>
      <c r="H39" s="9">
        <f t="shared" si="3"/>
        <v>26164.658124809153</v>
      </c>
      <c r="I39" s="11">
        <f t="shared" si="4"/>
        <v>16276229.300873198</v>
      </c>
    </row>
    <row r="40" spans="1:9">
      <c r="A40" s="14">
        <v>46898</v>
      </c>
      <c r="C40" s="7">
        <f t="shared" si="0"/>
        <v>30</v>
      </c>
      <c r="D40" s="15">
        <v>4.1250000000000002E-2</v>
      </c>
      <c r="E40" s="9">
        <f t="shared" si="1"/>
        <v>1864.9846073917206</v>
      </c>
      <c r="F40" s="11">
        <v>84072.12</v>
      </c>
      <c r="G40" s="11">
        <f t="shared" si="2"/>
        <v>55949.538221751616</v>
      </c>
      <c r="H40" s="9">
        <f t="shared" si="3"/>
        <v>28122.581778248379</v>
      </c>
      <c r="I40" s="11">
        <f t="shared" si="4"/>
        <v>16248106.719094949</v>
      </c>
    </row>
    <row r="41" spans="1:9">
      <c r="A41" s="12">
        <v>46929</v>
      </c>
      <c r="C41" s="7">
        <f t="shared" si="0"/>
        <v>31</v>
      </c>
      <c r="D41" s="15">
        <v>4.1250000000000002E-2</v>
      </c>
      <c r="E41" s="9">
        <f t="shared" si="1"/>
        <v>1861.7622282296297</v>
      </c>
      <c r="F41" s="11">
        <v>84072.12</v>
      </c>
      <c r="G41" s="11">
        <f t="shared" si="2"/>
        <v>57714.629075118522</v>
      </c>
      <c r="H41" s="9">
        <f t="shared" si="3"/>
        <v>26357.490924881473</v>
      </c>
      <c r="I41" s="11">
        <f t="shared" si="4"/>
        <v>16221749.228170067</v>
      </c>
    </row>
    <row r="42" spans="1:9">
      <c r="A42" s="14">
        <v>46959</v>
      </c>
      <c r="C42" s="7">
        <f t="shared" si="0"/>
        <v>30</v>
      </c>
      <c r="D42" s="15">
        <v>4.1250000000000002E-2</v>
      </c>
      <c r="E42" s="9">
        <f t="shared" si="1"/>
        <v>1858.7420990611536</v>
      </c>
      <c r="F42" s="11">
        <v>84072.12</v>
      </c>
      <c r="G42" s="11">
        <f t="shared" si="2"/>
        <v>55762.262971834607</v>
      </c>
      <c r="H42" s="9">
        <f t="shared" si="3"/>
        <v>28309.857028165388</v>
      </c>
      <c r="I42" s="11">
        <f t="shared" si="4"/>
        <v>16193439.371141901</v>
      </c>
    </row>
    <row r="43" spans="1:9">
      <c r="A43" s="12">
        <v>46990</v>
      </c>
      <c r="C43" s="7">
        <f t="shared" si="0"/>
        <v>31</v>
      </c>
      <c r="D43" s="15">
        <v>4.1250000000000002E-2</v>
      </c>
      <c r="E43" s="9">
        <f t="shared" si="1"/>
        <v>1855.4982612766762</v>
      </c>
      <c r="F43" s="11">
        <v>84072.12</v>
      </c>
      <c r="G43" s="11">
        <f t="shared" si="2"/>
        <v>57520.446099576962</v>
      </c>
      <c r="H43" s="9">
        <f t="shared" si="3"/>
        <v>26551.673900423033</v>
      </c>
      <c r="I43" s="11">
        <f t="shared" si="4"/>
        <v>16166887.697241478</v>
      </c>
    </row>
    <row r="44" spans="1:9">
      <c r="A44" s="14">
        <v>47021</v>
      </c>
      <c r="C44" s="7">
        <f t="shared" si="0"/>
        <v>31</v>
      </c>
      <c r="D44" s="15">
        <v>4.1250000000000002E-2</v>
      </c>
      <c r="E44" s="9">
        <f t="shared" si="1"/>
        <v>1852.455881975586</v>
      </c>
      <c r="F44" s="11">
        <v>84072.12</v>
      </c>
      <c r="G44" s="11">
        <f t="shared" si="2"/>
        <v>57426.132341243167</v>
      </c>
      <c r="H44" s="9">
        <f t="shared" si="3"/>
        <v>26645.987658756829</v>
      </c>
      <c r="I44" s="11">
        <f t="shared" si="4"/>
        <v>16140241.70958272</v>
      </c>
    </row>
    <row r="45" spans="1:9">
      <c r="A45" s="12">
        <v>47051</v>
      </c>
      <c r="C45" s="7">
        <f t="shared" si="0"/>
        <v>30</v>
      </c>
      <c r="D45" s="15">
        <v>4.1250000000000002E-2</v>
      </c>
      <c r="E45" s="9">
        <f t="shared" si="1"/>
        <v>1849.4026958896868</v>
      </c>
      <c r="F45" s="11">
        <v>84072.12</v>
      </c>
      <c r="G45" s="11">
        <f t="shared" si="2"/>
        <v>55482.080876690605</v>
      </c>
      <c r="H45" s="9">
        <f t="shared" si="3"/>
        <v>28590.039123309391</v>
      </c>
      <c r="I45" s="11">
        <f t="shared" si="4"/>
        <v>16111651.67045941</v>
      </c>
    </row>
    <row r="46" spans="1:9">
      <c r="A46" s="14">
        <v>47082</v>
      </c>
      <c r="C46" s="7">
        <f t="shared" si="0"/>
        <v>31</v>
      </c>
      <c r="D46" s="15">
        <v>4.1250000000000002E-2</v>
      </c>
      <c r="E46" s="9">
        <f t="shared" si="1"/>
        <v>1846.1267539068074</v>
      </c>
      <c r="F46" s="11">
        <v>84072.12</v>
      </c>
      <c r="G46" s="11">
        <f t="shared" si="2"/>
        <v>57229.929371111029</v>
      </c>
      <c r="H46" s="9">
        <f t="shared" si="3"/>
        <v>26842.190628888966</v>
      </c>
      <c r="I46" s="11">
        <f t="shared" si="4"/>
        <v>16084809.479830522</v>
      </c>
    </row>
    <row r="47" spans="1:9">
      <c r="A47" s="12">
        <v>47112</v>
      </c>
      <c r="C47" s="7">
        <f t="shared" si="0"/>
        <v>30</v>
      </c>
      <c r="D47" s="15">
        <v>4.1250000000000002E-2</v>
      </c>
      <c r="E47" s="9">
        <f t="shared" si="1"/>
        <v>1843.0510862305809</v>
      </c>
      <c r="F47" s="11">
        <v>84072.12</v>
      </c>
      <c r="G47" s="11">
        <f t="shared" si="2"/>
        <v>55291.532586917427</v>
      </c>
      <c r="H47" s="9">
        <f t="shared" si="3"/>
        <v>28780.587413082569</v>
      </c>
      <c r="I47" s="11">
        <f t="shared" si="4"/>
        <v>16056028.89241744</v>
      </c>
    </row>
    <row r="48" spans="1:9">
      <c r="A48" s="14">
        <v>47143</v>
      </c>
      <c r="C48" s="7">
        <f t="shared" si="0"/>
        <v>31</v>
      </c>
      <c r="D48" s="15">
        <v>4.1250000000000002E-2</v>
      </c>
      <c r="E48" s="9">
        <f t="shared" si="1"/>
        <v>1839.7533105894984</v>
      </c>
      <c r="F48" s="11">
        <v>84072.12</v>
      </c>
      <c r="G48" s="11">
        <f t="shared" si="2"/>
        <v>57032.35262827445</v>
      </c>
      <c r="H48" s="9">
        <f t="shared" si="3"/>
        <v>27039.767371725546</v>
      </c>
      <c r="I48" s="11">
        <f t="shared" si="4"/>
        <v>16028989.125045715</v>
      </c>
    </row>
    <row r="49" spans="1:9">
      <c r="A49" s="12">
        <v>47174</v>
      </c>
      <c r="C49" s="7">
        <f t="shared" si="0"/>
        <v>31</v>
      </c>
      <c r="D49" s="15">
        <v>4.1250000000000002E-2</v>
      </c>
      <c r="E49" s="9">
        <f t="shared" si="1"/>
        <v>1836.6550039114884</v>
      </c>
      <c r="F49" s="11">
        <v>84072.12</v>
      </c>
      <c r="G49" s="11">
        <f t="shared" si="2"/>
        <v>56936.30512125614</v>
      </c>
      <c r="H49" s="9">
        <f t="shared" si="3"/>
        <v>27135.814878743855</v>
      </c>
      <c r="I49" s="11">
        <f t="shared" si="4"/>
        <v>16001853.310166972</v>
      </c>
    </row>
    <row r="50" spans="1:9">
      <c r="A50" s="14">
        <v>47202</v>
      </c>
      <c r="C50" s="7">
        <f t="shared" si="0"/>
        <v>28</v>
      </c>
      <c r="D50" s="15">
        <v>4.1250000000000002E-2</v>
      </c>
      <c r="E50" s="9">
        <f t="shared" si="1"/>
        <v>1833.5456917899658</v>
      </c>
      <c r="F50" s="11">
        <v>84072.12</v>
      </c>
      <c r="G50" s="11">
        <f t="shared" si="2"/>
        <v>51339.279370119039</v>
      </c>
      <c r="H50" s="9">
        <f t="shared" si="3"/>
        <v>32732.840629880957</v>
      </c>
      <c r="I50" s="11">
        <f t="shared" si="4"/>
        <v>15969120.469537091</v>
      </c>
    </row>
    <row r="51" spans="1:9">
      <c r="A51" s="12">
        <v>47233</v>
      </c>
      <c r="C51" s="7">
        <f t="shared" si="0"/>
        <v>31</v>
      </c>
      <c r="D51" s="15">
        <v>4.1250000000000002E-2</v>
      </c>
      <c r="E51" s="9">
        <f t="shared" si="1"/>
        <v>1829.7950538011251</v>
      </c>
      <c r="F51" s="11">
        <v>84072.12</v>
      </c>
      <c r="G51" s="11">
        <f t="shared" si="2"/>
        <v>56723.646667834873</v>
      </c>
      <c r="H51" s="9">
        <f t="shared" si="3"/>
        <v>27348.473332165122</v>
      </c>
      <c r="I51" s="11">
        <f t="shared" si="4"/>
        <v>15941771.996204926</v>
      </c>
    </row>
    <row r="52" spans="1:9">
      <c r="A52" s="14">
        <v>47263</v>
      </c>
      <c r="C52" s="7">
        <f t="shared" si="0"/>
        <v>30</v>
      </c>
      <c r="D52" s="15">
        <v>4.1250000000000002E-2</v>
      </c>
      <c r="E52" s="9">
        <f t="shared" si="1"/>
        <v>1826.661374565148</v>
      </c>
      <c r="F52" s="11">
        <v>84072.12</v>
      </c>
      <c r="G52" s="11">
        <f t="shared" si="2"/>
        <v>54799.841236954439</v>
      </c>
      <c r="H52" s="9">
        <f t="shared" si="3"/>
        <v>29272.278763045557</v>
      </c>
      <c r="I52" s="11">
        <f t="shared" si="4"/>
        <v>15912499.717441879</v>
      </c>
    </row>
    <row r="53" spans="1:9">
      <c r="A53" s="12">
        <v>47294</v>
      </c>
      <c r="C53" s="7">
        <f t="shared" si="0"/>
        <v>31</v>
      </c>
      <c r="D53" s="15">
        <v>4.1250000000000002E-2</v>
      </c>
      <c r="E53" s="9">
        <f t="shared" si="1"/>
        <v>1823.3072592902156</v>
      </c>
      <c r="F53" s="11">
        <v>84072.12</v>
      </c>
      <c r="G53" s="11">
        <f t="shared" si="2"/>
        <v>56522.525037996682</v>
      </c>
      <c r="H53" s="9">
        <f t="shared" si="3"/>
        <v>27549.594962003313</v>
      </c>
      <c r="I53" s="11">
        <f t="shared" si="4"/>
        <v>15884950.122479877</v>
      </c>
    </row>
    <row r="54" spans="1:9">
      <c r="A54" s="14">
        <v>47324</v>
      </c>
      <c r="C54" s="7">
        <f t="shared" si="0"/>
        <v>30</v>
      </c>
      <c r="D54" s="15">
        <v>4.1250000000000002E-2</v>
      </c>
      <c r="E54" s="9">
        <f t="shared" si="1"/>
        <v>1820.1505348674859</v>
      </c>
      <c r="F54" s="11">
        <v>84072.12</v>
      </c>
      <c r="G54" s="11">
        <f t="shared" si="2"/>
        <v>54604.516046024575</v>
      </c>
      <c r="H54" s="9">
        <f t="shared" si="3"/>
        <v>29467.60395397542</v>
      </c>
      <c r="I54" s="11">
        <f t="shared" si="4"/>
        <v>15855482.5185259</v>
      </c>
    </row>
    <row r="55" spans="1:9">
      <c r="A55" s="12">
        <v>47355</v>
      </c>
      <c r="C55" s="7">
        <f t="shared" si="0"/>
        <v>31</v>
      </c>
      <c r="D55" s="15">
        <v>4.1250000000000002E-2</v>
      </c>
      <c r="E55" s="9">
        <f t="shared" si="1"/>
        <v>1816.7740385810928</v>
      </c>
      <c r="F55" s="11">
        <v>84072.12</v>
      </c>
      <c r="G55" s="11">
        <f t="shared" si="2"/>
        <v>56319.995196013879</v>
      </c>
      <c r="H55" s="9">
        <f t="shared" si="3"/>
        <v>27752.124803986117</v>
      </c>
      <c r="I55" s="11">
        <f t="shared" si="4"/>
        <v>15827730.393721914</v>
      </c>
    </row>
    <row r="56" spans="1:9">
      <c r="A56" s="14">
        <v>47386</v>
      </c>
      <c r="C56" s="7">
        <f t="shared" si="0"/>
        <v>31</v>
      </c>
      <c r="D56" s="15">
        <v>4.1250000000000002E-2</v>
      </c>
      <c r="E56" s="9">
        <f t="shared" si="1"/>
        <v>1813.5941076139693</v>
      </c>
      <c r="F56" s="11">
        <v>84072.12</v>
      </c>
      <c r="G56" s="11">
        <f t="shared" si="2"/>
        <v>56221.417336033046</v>
      </c>
      <c r="H56" s="9">
        <f t="shared" si="3"/>
        <v>27850.702663966949</v>
      </c>
      <c r="I56" s="11">
        <f t="shared" si="4"/>
        <v>15799879.691057947</v>
      </c>
    </row>
    <row r="57" spans="1:9">
      <c r="A57" s="12">
        <v>47416</v>
      </c>
      <c r="C57" s="7">
        <f t="shared" si="0"/>
        <v>30</v>
      </c>
      <c r="D57" s="15">
        <v>4.1250000000000002E-2</v>
      </c>
      <c r="E57" s="9">
        <f t="shared" si="1"/>
        <v>1810.4028812670565</v>
      </c>
      <c r="F57" s="11">
        <v>84072.12</v>
      </c>
      <c r="G57" s="11">
        <f t="shared" si="2"/>
        <v>54312.086438011698</v>
      </c>
      <c r="H57" s="9">
        <f t="shared" si="3"/>
        <v>29760.033561988297</v>
      </c>
      <c r="I57" s="11">
        <f t="shared" si="4"/>
        <v>15770119.657495959</v>
      </c>
    </row>
    <row r="58" spans="1:9">
      <c r="A58" s="14">
        <v>47447</v>
      </c>
      <c r="C58" s="7">
        <f t="shared" si="0"/>
        <v>31</v>
      </c>
      <c r="D58" s="15">
        <v>4.1250000000000002E-2</v>
      </c>
      <c r="E58" s="9">
        <f t="shared" si="1"/>
        <v>1806.992877421412</v>
      </c>
      <c r="F58" s="11">
        <v>84072.12</v>
      </c>
      <c r="G58" s="11">
        <f t="shared" si="2"/>
        <v>56016.779200063771</v>
      </c>
      <c r="H58" s="9">
        <f t="shared" si="3"/>
        <v>28055.340799936224</v>
      </c>
      <c r="I58" s="11">
        <f t="shared" si="4"/>
        <v>15742064.316696022</v>
      </c>
    </row>
    <row r="59" spans="1:9">
      <c r="A59" s="12">
        <v>47477</v>
      </c>
      <c r="C59" s="7">
        <f t="shared" si="0"/>
        <v>30</v>
      </c>
      <c r="D59" s="15">
        <v>4.1250000000000002E-2</v>
      </c>
      <c r="E59" s="9">
        <f t="shared" si="1"/>
        <v>1803.7782029547525</v>
      </c>
      <c r="F59" s="11">
        <v>84072.12</v>
      </c>
      <c r="G59" s="11">
        <f t="shared" si="2"/>
        <v>54113.346088642575</v>
      </c>
      <c r="H59" s="9">
        <f t="shared" si="3"/>
        <v>29958.773911357421</v>
      </c>
      <c r="I59" s="11">
        <f t="shared" si="4"/>
        <v>15712105.542784665</v>
      </c>
    </row>
    <row r="60" spans="1:9">
      <c r="A60" s="14">
        <v>47508</v>
      </c>
      <c r="C60" s="7">
        <f t="shared" si="0"/>
        <v>31</v>
      </c>
      <c r="D60" s="15">
        <v>4.1250000000000002E-2</v>
      </c>
      <c r="E60" s="9">
        <f t="shared" si="1"/>
        <v>1800.3454267774098</v>
      </c>
      <c r="F60" s="11">
        <v>84072.12</v>
      </c>
      <c r="G60" s="11">
        <f t="shared" si="2"/>
        <v>55810.708230099706</v>
      </c>
      <c r="H60" s="9">
        <f t="shared" si="3"/>
        <v>28261.411769900289</v>
      </c>
      <c r="I60" s="11">
        <f t="shared" si="4"/>
        <v>15683844.131014764</v>
      </c>
    </row>
    <row r="61" spans="1:9">
      <c r="A61" s="12">
        <v>47539</v>
      </c>
      <c r="C61" s="7">
        <f t="shared" si="0"/>
        <v>31</v>
      </c>
      <c r="D61" s="15">
        <v>4.1250000000000002E-2</v>
      </c>
      <c r="E61" s="9">
        <f t="shared" si="1"/>
        <v>1797.1071400121084</v>
      </c>
      <c r="F61" s="11">
        <v>84072.12</v>
      </c>
      <c r="G61" s="11">
        <f t="shared" si="2"/>
        <v>55710.321340375362</v>
      </c>
      <c r="H61" s="9">
        <f t="shared" si="3"/>
        <v>28361.798659624634</v>
      </c>
      <c r="I61" s="11">
        <f t="shared" si="4"/>
        <v>15655482.33235514</v>
      </c>
    </row>
    <row r="62" spans="1:9">
      <c r="A62" s="14">
        <v>47567</v>
      </c>
      <c r="C62" s="7">
        <f t="shared" si="0"/>
        <v>28</v>
      </c>
      <c r="D62" s="15">
        <v>4.1250000000000002E-2</v>
      </c>
      <c r="E62" s="9">
        <f t="shared" si="1"/>
        <v>1793.8573505823597</v>
      </c>
      <c r="F62" s="11">
        <v>84072.12</v>
      </c>
      <c r="G62" s="11">
        <f t="shared" si="2"/>
        <v>50228.005816306075</v>
      </c>
      <c r="H62" s="9">
        <f t="shared" si="3"/>
        <v>33844.11418369392</v>
      </c>
      <c r="I62" s="11">
        <f t="shared" si="4"/>
        <v>15621638.218171446</v>
      </c>
    </row>
    <row r="63" spans="1:9">
      <c r="A63" s="12">
        <v>47598</v>
      </c>
      <c r="C63" s="7">
        <f t="shared" si="0"/>
        <v>31</v>
      </c>
      <c r="D63" s="15">
        <v>4.1250000000000002E-2</v>
      </c>
      <c r="E63" s="9">
        <f t="shared" si="1"/>
        <v>1789.9793791654781</v>
      </c>
      <c r="F63" s="11">
        <v>84072.12</v>
      </c>
      <c r="G63" s="11">
        <f t="shared" si="2"/>
        <v>55489.360754129819</v>
      </c>
      <c r="H63" s="9">
        <f t="shared" si="3"/>
        <v>28582.759245870177</v>
      </c>
      <c r="I63" s="11">
        <f t="shared" si="4"/>
        <v>15593055.458925575</v>
      </c>
    </row>
    <row r="64" spans="1:9">
      <c r="A64" s="14">
        <v>47628</v>
      </c>
      <c r="C64" s="7">
        <f t="shared" si="0"/>
        <v>30</v>
      </c>
      <c r="D64" s="15">
        <v>4.1250000000000002E-2</v>
      </c>
      <c r="E64" s="9">
        <f t="shared" si="1"/>
        <v>1786.7042713352223</v>
      </c>
      <c r="F64" s="11">
        <v>84072.12</v>
      </c>
      <c r="G64" s="11">
        <f t="shared" si="2"/>
        <v>53601.128140056666</v>
      </c>
      <c r="H64" s="9">
        <f t="shared" si="3"/>
        <v>30470.991859943329</v>
      </c>
      <c r="I64" s="11">
        <f t="shared" si="4"/>
        <v>15562584.467065632</v>
      </c>
    </row>
    <row r="65" spans="1:9">
      <c r="A65" s="12">
        <v>47659</v>
      </c>
      <c r="C65" s="7">
        <f t="shared" si="0"/>
        <v>31</v>
      </c>
      <c r="D65" s="15">
        <v>4.1250000000000002E-2</v>
      </c>
      <c r="E65" s="9">
        <f t="shared" si="1"/>
        <v>1783.2128035179371</v>
      </c>
      <c r="F65" s="11">
        <v>84072.12</v>
      </c>
      <c r="G65" s="11">
        <f t="shared" si="2"/>
        <v>55279.596909056054</v>
      </c>
      <c r="H65" s="9">
        <f t="shared" si="3"/>
        <v>28792.523090943941</v>
      </c>
      <c r="I65" s="11">
        <f t="shared" si="4"/>
        <v>15533791.943974689</v>
      </c>
    </row>
    <row r="66" spans="1:9">
      <c r="A66" s="14">
        <v>47689</v>
      </c>
      <c r="C66" s="7">
        <f t="shared" si="0"/>
        <v>30</v>
      </c>
      <c r="D66" s="15">
        <v>4.1250000000000002E-2</v>
      </c>
      <c r="E66" s="9">
        <f t="shared" si="1"/>
        <v>1779.9136602470996</v>
      </c>
      <c r="F66" s="11">
        <v>84072.12</v>
      </c>
      <c r="G66" s="11">
        <f t="shared" si="2"/>
        <v>53397.409807412987</v>
      </c>
      <c r="H66" s="9">
        <f t="shared" si="3"/>
        <v>30674.710192587008</v>
      </c>
      <c r="I66" s="11">
        <f t="shared" si="4"/>
        <v>15503117.233782101</v>
      </c>
    </row>
    <row r="67" spans="1:9">
      <c r="A67" s="12">
        <v>47720</v>
      </c>
      <c r="C67" s="7">
        <f t="shared" si="0"/>
        <v>31</v>
      </c>
      <c r="D67" s="15">
        <v>4.1250000000000002E-2</v>
      </c>
      <c r="E67" s="9">
        <f t="shared" si="1"/>
        <v>1776.3988497041989</v>
      </c>
      <c r="F67" s="11">
        <v>84072.12</v>
      </c>
      <c r="G67" s="11">
        <f t="shared" si="2"/>
        <v>55068.364340830165</v>
      </c>
      <c r="H67" s="9">
        <f t="shared" si="3"/>
        <v>29003.75565916983</v>
      </c>
      <c r="I67" s="11">
        <f t="shared" si="4"/>
        <v>15474113.478122931</v>
      </c>
    </row>
    <row r="68" spans="1:9">
      <c r="A68" s="14">
        <v>47751</v>
      </c>
      <c r="C68" s="7">
        <f t="shared" ref="C68:C86" si="5">A68-A67</f>
        <v>31</v>
      </c>
      <c r="D68" s="15">
        <v>4.1250000000000002E-2</v>
      </c>
      <c r="E68" s="9">
        <f t="shared" ref="E68:E86" si="6">I67*D68/360</f>
        <v>1773.0755027015859</v>
      </c>
      <c r="F68" s="11">
        <v>84072.12</v>
      </c>
      <c r="G68" s="11">
        <f t="shared" ref="G68:G86" si="7">C68*E68</f>
        <v>54965.340583749166</v>
      </c>
      <c r="H68" s="9">
        <f t="shared" ref="H68:H86" si="8">F68-G68</f>
        <v>29106.779416250829</v>
      </c>
      <c r="I68" s="11">
        <f t="shared" ref="I68:I86" si="9">I67-H68</f>
        <v>15445006.698706681</v>
      </c>
    </row>
    <row r="69" spans="1:9">
      <c r="A69" s="12">
        <v>47781</v>
      </c>
      <c r="C69" s="7">
        <f t="shared" si="5"/>
        <v>30</v>
      </c>
      <c r="D69" s="15">
        <v>4.1250000000000002E-2</v>
      </c>
      <c r="E69" s="9">
        <f t="shared" si="6"/>
        <v>1769.740350893474</v>
      </c>
      <c r="F69" s="11">
        <v>84072.12</v>
      </c>
      <c r="G69" s="11">
        <f t="shared" si="7"/>
        <v>53092.210526804221</v>
      </c>
      <c r="H69" s="9">
        <f t="shared" si="8"/>
        <v>30979.909473195774</v>
      </c>
      <c r="I69" s="11">
        <f t="shared" si="9"/>
        <v>15414026.789233485</v>
      </c>
    </row>
    <row r="70" spans="1:9">
      <c r="A70" s="14">
        <v>47812</v>
      </c>
      <c r="C70" s="7">
        <f t="shared" si="5"/>
        <v>31</v>
      </c>
      <c r="D70" s="15">
        <v>4.1250000000000002E-2</v>
      </c>
      <c r="E70" s="9">
        <f t="shared" si="6"/>
        <v>1766.1905695996704</v>
      </c>
      <c r="F70" s="11">
        <v>84072.12</v>
      </c>
      <c r="G70" s="11">
        <f t="shared" si="7"/>
        <v>54751.907657589785</v>
      </c>
      <c r="H70" s="9">
        <f t="shared" si="8"/>
        <v>29320.21234241021</v>
      </c>
      <c r="I70" s="11">
        <f t="shared" si="9"/>
        <v>15384706.576891076</v>
      </c>
    </row>
    <row r="71" spans="1:9">
      <c r="A71" s="12">
        <v>47842</v>
      </c>
      <c r="C71" s="7">
        <f t="shared" si="5"/>
        <v>30</v>
      </c>
      <c r="D71" s="15">
        <v>4.1250000000000002E-2</v>
      </c>
      <c r="E71" s="9">
        <f t="shared" si="6"/>
        <v>1762.8309619354359</v>
      </c>
      <c r="F71" s="11">
        <v>84072.12</v>
      </c>
      <c r="G71" s="11">
        <f t="shared" si="7"/>
        <v>52884.928858063075</v>
      </c>
      <c r="H71" s="9">
        <f t="shared" si="8"/>
        <v>31187.191141936921</v>
      </c>
      <c r="I71" s="11">
        <f t="shared" si="9"/>
        <v>15353519.385749139</v>
      </c>
    </row>
    <row r="72" spans="1:9">
      <c r="A72" s="14">
        <v>47873</v>
      </c>
      <c r="C72" s="7">
        <f t="shared" si="5"/>
        <v>31</v>
      </c>
      <c r="D72" s="15">
        <v>4.1250000000000002E-2</v>
      </c>
      <c r="E72" s="9">
        <f t="shared" si="6"/>
        <v>1759.2574296170887</v>
      </c>
      <c r="F72" s="11">
        <v>84072.12</v>
      </c>
      <c r="G72" s="11">
        <f t="shared" si="7"/>
        <v>54536.980318129754</v>
      </c>
      <c r="H72" s="9">
        <f t="shared" si="8"/>
        <v>29535.139681870241</v>
      </c>
      <c r="I72" s="11">
        <f t="shared" si="9"/>
        <v>15323984.246067269</v>
      </c>
    </row>
    <row r="73" spans="1:9">
      <c r="A73" s="12">
        <v>47904</v>
      </c>
      <c r="C73" s="7">
        <f t="shared" si="5"/>
        <v>31</v>
      </c>
      <c r="D73" s="15">
        <v>4.1250000000000002E-2</v>
      </c>
      <c r="E73" s="9">
        <f t="shared" si="6"/>
        <v>1755.8731948618745</v>
      </c>
      <c r="F73" s="11">
        <v>84072.12</v>
      </c>
      <c r="G73" s="11">
        <f t="shared" si="7"/>
        <v>54432.06904071811</v>
      </c>
      <c r="H73" s="9">
        <f t="shared" si="8"/>
        <v>29640.050959281885</v>
      </c>
      <c r="I73" s="11">
        <f t="shared" si="9"/>
        <v>15294344.195107987</v>
      </c>
    </row>
    <row r="74" spans="1:9">
      <c r="A74" s="14">
        <v>47932</v>
      </c>
      <c r="C74" s="7">
        <f t="shared" si="5"/>
        <v>28</v>
      </c>
      <c r="D74" s="15">
        <v>4.1250000000000002E-2</v>
      </c>
      <c r="E74" s="9">
        <f t="shared" si="6"/>
        <v>1752.4769390227905</v>
      </c>
      <c r="F74" s="11">
        <v>84072.12</v>
      </c>
      <c r="G74" s="11">
        <f t="shared" si="7"/>
        <v>49069.354292638134</v>
      </c>
      <c r="H74" s="9">
        <f t="shared" si="8"/>
        <v>35002.765707361861</v>
      </c>
      <c r="I74" s="11">
        <f t="shared" si="9"/>
        <v>15259341.429400625</v>
      </c>
    </row>
    <row r="75" spans="1:9">
      <c r="A75" s="12">
        <v>47963</v>
      </c>
      <c r="C75" s="7">
        <f t="shared" si="5"/>
        <v>31</v>
      </c>
      <c r="D75" s="15">
        <v>4.1250000000000002E-2</v>
      </c>
      <c r="E75" s="9">
        <f t="shared" si="6"/>
        <v>1748.466205452155</v>
      </c>
      <c r="F75" s="11">
        <v>84072.12</v>
      </c>
      <c r="G75" s="11">
        <f t="shared" si="7"/>
        <v>54202.452369016806</v>
      </c>
      <c r="H75" s="9">
        <f t="shared" si="8"/>
        <v>29869.667630983189</v>
      </c>
      <c r="I75" s="11">
        <f t="shared" si="9"/>
        <v>15229471.761769641</v>
      </c>
    </row>
    <row r="76" spans="1:9">
      <c r="A76" s="14">
        <v>47993</v>
      </c>
      <c r="C76" s="7">
        <f t="shared" si="5"/>
        <v>30</v>
      </c>
      <c r="D76" s="15">
        <v>4.1250000000000002E-2</v>
      </c>
      <c r="E76" s="9">
        <f t="shared" si="6"/>
        <v>1745.0436393694379</v>
      </c>
      <c r="F76" s="11">
        <v>84072.12</v>
      </c>
      <c r="G76" s="11">
        <f t="shared" si="7"/>
        <v>52351.309181083139</v>
      </c>
      <c r="H76" s="9">
        <f t="shared" si="8"/>
        <v>31720.810818916856</v>
      </c>
      <c r="I76" s="11">
        <f t="shared" si="9"/>
        <v>15197750.950950725</v>
      </c>
    </row>
    <row r="77" spans="1:9">
      <c r="A77" s="12">
        <v>48024</v>
      </c>
      <c r="C77" s="7">
        <f t="shared" si="5"/>
        <v>31</v>
      </c>
      <c r="D77" s="15">
        <v>4.1250000000000002E-2</v>
      </c>
      <c r="E77" s="9">
        <f t="shared" si="6"/>
        <v>1741.4089631297707</v>
      </c>
      <c r="F77" s="11">
        <v>84072.12</v>
      </c>
      <c r="G77" s="11">
        <f t="shared" si="7"/>
        <v>53983.677857022893</v>
      </c>
      <c r="H77" s="9">
        <f t="shared" si="8"/>
        <v>30088.442142977103</v>
      </c>
      <c r="I77" s="11">
        <f t="shared" si="9"/>
        <v>15167662.508807749</v>
      </c>
    </row>
    <row r="78" spans="1:9">
      <c r="A78" s="14">
        <v>48054</v>
      </c>
      <c r="C78" s="7">
        <f t="shared" si="5"/>
        <v>30</v>
      </c>
      <c r="D78" s="15">
        <v>4.1250000000000002E-2</v>
      </c>
      <c r="E78" s="9">
        <f t="shared" si="6"/>
        <v>1737.9613291342212</v>
      </c>
      <c r="F78" s="11">
        <v>84072.12</v>
      </c>
      <c r="G78" s="11">
        <f t="shared" si="7"/>
        <v>52138.839874026635</v>
      </c>
      <c r="H78" s="9">
        <f t="shared" si="8"/>
        <v>31933.280125973361</v>
      </c>
      <c r="I78" s="11">
        <f t="shared" si="9"/>
        <v>15135729.228681775</v>
      </c>
    </row>
    <row r="79" spans="1:9">
      <c r="A79" s="12">
        <v>48085</v>
      </c>
      <c r="C79" s="7">
        <f t="shared" si="5"/>
        <v>31</v>
      </c>
      <c r="D79" s="15">
        <v>4.1250000000000002E-2</v>
      </c>
      <c r="E79" s="9">
        <f t="shared" si="6"/>
        <v>1734.30230745312</v>
      </c>
      <c r="F79" s="11">
        <v>84072.12</v>
      </c>
      <c r="G79" s="11">
        <f t="shared" si="7"/>
        <v>53763.371531046716</v>
      </c>
      <c r="H79" s="9">
        <f t="shared" si="8"/>
        <v>30308.748468953279</v>
      </c>
      <c r="I79" s="11">
        <f t="shared" si="9"/>
        <v>15105420.480212821</v>
      </c>
    </row>
    <row r="80" spans="1:9">
      <c r="A80" s="14">
        <v>48116</v>
      </c>
      <c r="C80" s="7">
        <f t="shared" si="5"/>
        <v>31</v>
      </c>
      <c r="D80" s="15">
        <v>4.1250000000000002E-2</v>
      </c>
      <c r="E80" s="9">
        <f t="shared" si="6"/>
        <v>1730.8294300243856</v>
      </c>
      <c r="F80" s="11">
        <v>84072.12</v>
      </c>
      <c r="G80" s="11">
        <f t="shared" si="7"/>
        <v>53655.712330755952</v>
      </c>
      <c r="H80" s="9">
        <f t="shared" si="8"/>
        <v>30416.407669244043</v>
      </c>
      <c r="I80" s="11">
        <f t="shared" si="9"/>
        <v>15075004.072543576</v>
      </c>
    </row>
    <row r="81" spans="1:9">
      <c r="A81" s="12">
        <v>48146</v>
      </c>
      <c r="C81" s="7">
        <f t="shared" si="5"/>
        <v>30</v>
      </c>
      <c r="D81" s="15">
        <v>4.1250000000000002E-2</v>
      </c>
      <c r="E81" s="9">
        <f t="shared" si="6"/>
        <v>1727.3442166456184</v>
      </c>
      <c r="F81" s="11">
        <v>84072.12</v>
      </c>
      <c r="G81" s="11">
        <f t="shared" si="7"/>
        <v>51820.326499368552</v>
      </c>
      <c r="H81" s="9">
        <f t="shared" si="8"/>
        <v>32251.793500631444</v>
      </c>
      <c r="I81" s="11">
        <f t="shared" si="9"/>
        <v>15042752.279042944</v>
      </c>
    </row>
    <row r="82" spans="1:9">
      <c r="A82" s="14">
        <v>48177</v>
      </c>
      <c r="C82" s="7">
        <f t="shared" si="5"/>
        <v>31</v>
      </c>
      <c r="D82" s="15">
        <v>4.1250000000000002E-2</v>
      </c>
      <c r="E82" s="9">
        <f t="shared" si="6"/>
        <v>1723.6486986403372</v>
      </c>
      <c r="F82" s="11">
        <v>84072.12</v>
      </c>
      <c r="G82" s="11">
        <f t="shared" si="7"/>
        <v>53433.109657850451</v>
      </c>
      <c r="H82" s="9">
        <f t="shared" si="8"/>
        <v>30639.010342149544</v>
      </c>
      <c r="I82" s="11">
        <f t="shared" si="9"/>
        <v>15012113.268700795</v>
      </c>
    </row>
    <row r="83" spans="1:9">
      <c r="A83" s="12">
        <v>48207</v>
      </c>
      <c r="C83" s="7">
        <f t="shared" si="5"/>
        <v>30</v>
      </c>
      <c r="D83" s="15">
        <v>4.1250000000000002E-2</v>
      </c>
      <c r="E83" s="9">
        <f t="shared" si="6"/>
        <v>1720.1379787052995</v>
      </c>
      <c r="F83" s="11">
        <v>84072.12</v>
      </c>
      <c r="G83" s="11">
        <f t="shared" si="7"/>
        <v>51604.139361158981</v>
      </c>
      <c r="H83" s="9">
        <f t="shared" si="8"/>
        <v>32467.980638841014</v>
      </c>
      <c r="I83" s="11">
        <f t="shared" si="9"/>
        <v>14979645.288061954</v>
      </c>
    </row>
    <row r="84" spans="1:9">
      <c r="A84" s="14">
        <v>48238</v>
      </c>
      <c r="C84" s="7">
        <f t="shared" si="5"/>
        <v>31</v>
      </c>
      <c r="D84" s="15">
        <v>4.1250000000000002E-2</v>
      </c>
      <c r="E84" s="9">
        <f t="shared" si="6"/>
        <v>1716.417689257099</v>
      </c>
      <c r="F84" s="11">
        <v>84072.12</v>
      </c>
      <c r="G84" s="11">
        <f t="shared" si="7"/>
        <v>53208.948366970071</v>
      </c>
      <c r="H84" s="9">
        <f t="shared" si="8"/>
        <v>30863.171633029924</v>
      </c>
      <c r="I84" s="11">
        <f t="shared" si="9"/>
        <v>14948782.116428925</v>
      </c>
    </row>
    <row r="85" spans="1:9">
      <c r="A85" s="12">
        <v>48269</v>
      </c>
      <c r="C85" s="7">
        <f t="shared" si="5"/>
        <v>31</v>
      </c>
      <c r="D85" s="15">
        <v>4.1250000000000002E-2</v>
      </c>
      <c r="E85" s="9">
        <f t="shared" si="6"/>
        <v>1712.8812841741478</v>
      </c>
      <c r="F85" s="11">
        <v>84072.12</v>
      </c>
      <c r="G85" s="11">
        <f t="shared" si="7"/>
        <v>53099.319809398585</v>
      </c>
      <c r="H85" s="9">
        <f t="shared" si="8"/>
        <v>30972.800190601411</v>
      </c>
      <c r="I85" s="11">
        <f t="shared" si="9"/>
        <v>14917809.316238323</v>
      </c>
    </row>
    <row r="86" spans="1:9">
      <c r="A86" s="14">
        <v>48298</v>
      </c>
      <c r="C86" s="7">
        <f t="shared" si="5"/>
        <v>29</v>
      </c>
      <c r="D86" s="15">
        <v>4.1250000000000002E-2</v>
      </c>
      <c r="E86" s="9">
        <f t="shared" si="6"/>
        <v>1709.3323174856412</v>
      </c>
      <c r="F86" s="11">
        <f>G86+I85</f>
        <v>14967379.953445407</v>
      </c>
      <c r="G86" s="11">
        <f t="shared" si="7"/>
        <v>49570.637207083593</v>
      </c>
      <c r="H86" s="9">
        <f t="shared" si="8"/>
        <v>14917809.316238323</v>
      </c>
      <c r="I86" s="11">
        <f t="shared" si="9"/>
        <v>0</v>
      </c>
    </row>
  </sheetData>
  <phoneticPr fontId="2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>
      <selection activeCell="L41" sqref="L41"/>
    </sheetView>
  </sheetViews>
  <sheetFormatPr defaultColWidth="9" defaultRowHeight="12.75"/>
  <cols>
    <col min="1" max="1" width="9.125" style="4" bestFit="1" customWidth="1"/>
    <col min="2" max="2" width="7.375" style="4" bestFit="1" customWidth="1"/>
    <col min="3" max="3" width="4.625" style="4" bestFit="1" customWidth="1"/>
    <col min="4" max="4" width="5.875" style="4" bestFit="1" customWidth="1"/>
    <col min="5" max="5" width="7.25" style="4" bestFit="1" customWidth="1"/>
    <col min="6" max="8" width="8.75" style="4" bestFit="1" customWidth="1"/>
    <col min="9" max="9" width="10.875" style="4" bestFit="1" customWidth="1"/>
    <col min="10" max="16384" width="9" style="4"/>
  </cols>
  <sheetData>
    <row r="1" spans="1:10" s="5" customFormat="1">
      <c r="A1" s="1" t="s">
        <v>5</v>
      </c>
      <c r="B1" s="1" t="s">
        <v>6</v>
      </c>
      <c r="C1" s="2" t="s">
        <v>7</v>
      </c>
      <c r="D1" s="1" t="s">
        <v>0</v>
      </c>
      <c r="E1" s="1" t="s">
        <v>4</v>
      </c>
      <c r="F1" s="3" t="s">
        <v>8</v>
      </c>
      <c r="G1" s="1" t="s">
        <v>1</v>
      </c>
      <c r="H1" s="1" t="s">
        <v>2</v>
      </c>
      <c r="I1" s="1" t="s">
        <v>3</v>
      </c>
    </row>
    <row r="2" spans="1:10" s="5" customFormat="1">
      <c r="A2" s="13">
        <v>45803</v>
      </c>
      <c r="B2" s="6"/>
      <c r="C2" s="7"/>
      <c r="D2" s="8"/>
      <c r="E2" s="9"/>
      <c r="F2" s="9"/>
      <c r="G2" s="9"/>
      <c r="H2" s="9"/>
      <c r="I2" s="10">
        <v>5778997</v>
      </c>
    </row>
    <row r="3" spans="1:10">
      <c r="A3" s="12">
        <v>45834</v>
      </c>
      <c r="B3" s="14"/>
      <c r="C3" s="7">
        <f>A3-A2</f>
        <v>31</v>
      </c>
      <c r="D3" s="15">
        <v>4.9200000000000001E-2</v>
      </c>
      <c r="E3" s="9">
        <f>I2*D3/360</f>
        <v>789.79625666666675</v>
      </c>
      <c r="F3" s="11">
        <v>30996.59</v>
      </c>
      <c r="G3" s="11">
        <f>C3*E3</f>
        <v>24483.683956666668</v>
      </c>
      <c r="H3" s="9">
        <f>F3-G3</f>
        <v>6512.9060433333325</v>
      </c>
      <c r="I3" s="11">
        <f>I2-H3</f>
        <v>5772484.093956667</v>
      </c>
      <c r="J3" s="11"/>
    </row>
    <row r="4" spans="1:10">
      <c r="A4" s="14">
        <v>45864</v>
      </c>
      <c r="B4" s="12"/>
      <c r="C4" s="7">
        <f t="shared" ref="C4:C67" si="0">A4-A3</f>
        <v>30</v>
      </c>
      <c r="D4" s="15">
        <v>4.9200000000000001E-2</v>
      </c>
      <c r="E4" s="9">
        <f t="shared" ref="E4:E67" si="1">I3*D4/360</f>
        <v>788.90615950741108</v>
      </c>
      <c r="F4" s="11">
        <v>30996.59</v>
      </c>
      <c r="G4" s="11">
        <f t="shared" ref="G4:G67" si="2">C4*E4</f>
        <v>23667.184785222333</v>
      </c>
      <c r="H4" s="9">
        <f t="shared" ref="H4:H67" si="3">F4-G4</f>
        <v>7329.4052147776674</v>
      </c>
      <c r="I4" s="11">
        <f t="shared" ref="I4:I67" si="4">I3-H4</f>
        <v>5765154.6887418898</v>
      </c>
      <c r="J4" s="11"/>
    </row>
    <row r="5" spans="1:10">
      <c r="A5" s="12">
        <v>45895</v>
      </c>
      <c r="B5" s="12"/>
      <c r="C5" s="7">
        <f t="shared" si="0"/>
        <v>31</v>
      </c>
      <c r="D5" s="15">
        <v>4.9200000000000001E-2</v>
      </c>
      <c r="E5" s="9">
        <f t="shared" si="1"/>
        <v>787.90447412805827</v>
      </c>
      <c r="F5" s="11">
        <v>30996.59</v>
      </c>
      <c r="G5" s="11">
        <f t="shared" si="2"/>
        <v>24425.038697969805</v>
      </c>
      <c r="H5" s="9">
        <f t="shared" si="3"/>
        <v>6571.5513020301951</v>
      </c>
      <c r="I5" s="11">
        <f t="shared" si="4"/>
        <v>5758583.13743986</v>
      </c>
      <c r="J5" s="11"/>
    </row>
    <row r="6" spans="1:10">
      <c r="A6" s="14">
        <v>45926</v>
      </c>
      <c r="B6" s="12"/>
      <c r="C6" s="7">
        <f t="shared" si="0"/>
        <v>31</v>
      </c>
      <c r="D6" s="15">
        <v>4.9200000000000001E-2</v>
      </c>
      <c r="E6" s="9">
        <f t="shared" si="1"/>
        <v>787.00636211678079</v>
      </c>
      <c r="F6" s="11">
        <v>30996.59</v>
      </c>
      <c r="G6" s="11">
        <f t="shared" si="2"/>
        <v>24397.197225620206</v>
      </c>
      <c r="H6" s="9">
        <f t="shared" si="3"/>
        <v>6599.392774379794</v>
      </c>
      <c r="I6" s="11">
        <f t="shared" si="4"/>
        <v>5751983.7446654802</v>
      </c>
      <c r="J6" s="11"/>
    </row>
    <row r="7" spans="1:10">
      <c r="A7" s="12">
        <v>45956</v>
      </c>
      <c r="B7" s="12"/>
      <c r="C7" s="7">
        <f t="shared" si="0"/>
        <v>30</v>
      </c>
      <c r="D7" s="15">
        <v>4.9200000000000001E-2</v>
      </c>
      <c r="E7" s="9">
        <f t="shared" si="1"/>
        <v>786.10444510428238</v>
      </c>
      <c r="F7" s="11">
        <v>30996.59</v>
      </c>
      <c r="G7" s="11">
        <f t="shared" si="2"/>
        <v>23583.133353128473</v>
      </c>
      <c r="H7" s="9">
        <f t="shared" si="3"/>
        <v>7413.4566468715275</v>
      </c>
      <c r="I7" s="11">
        <f t="shared" si="4"/>
        <v>5744570.2880186085</v>
      </c>
      <c r="J7" s="11"/>
    </row>
    <row r="8" spans="1:10">
      <c r="A8" s="14">
        <v>45987</v>
      </c>
      <c r="B8" s="12"/>
      <c r="C8" s="7">
        <f t="shared" si="0"/>
        <v>31</v>
      </c>
      <c r="D8" s="15">
        <v>4.9200000000000001E-2</v>
      </c>
      <c r="E8" s="9">
        <f t="shared" si="1"/>
        <v>785.09127269587657</v>
      </c>
      <c r="F8" s="11">
        <v>30996.59</v>
      </c>
      <c r="G8" s="11">
        <f t="shared" si="2"/>
        <v>24337.829453572172</v>
      </c>
      <c r="H8" s="9">
        <f t="shared" si="3"/>
        <v>6658.7605464278276</v>
      </c>
      <c r="I8" s="11">
        <f t="shared" si="4"/>
        <v>5737911.5274721803</v>
      </c>
      <c r="J8" s="11"/>
    </row>
    <row r="9" spans="1:10">
      <c r="A9" s="12">
        <v>46017</v>
      </c>
      <c r="B9" s="12"/>
      <c r="C9" s="7">
        <f t="shared" si="0"/>
        <v>30</v>
      </c>
      <c r="D9" s="15">
        <v>4.9200000000000001E-2</v>
      </c>
      <c r="E9" s="9">
        <f t="shared" si="1"/>
        <v>784.18124208786469</v>
      </c>
      <c r="F9" s="11">
        <v>30996.59</v>
      </c>
      <c r="G9" s="11">
        <f t="shared" si="2"/>
        <v>23525.43726263594</v>
      </c>
      <c r="H9" s="9">
        <f t="shared" si="3"/>
        <v>7471.1527373640602</v>
      </c>
      <c r="I9" s="11">
        <f t="shared" si="4"/>
        <v>5730440.3747348161</v>
      </c>
      <c r="J9" s="11"/>
    </row>
    <row r="10" spans="1:10">
      <c r="A10" s="14">
        <v>46048</v>
      </c>
      <c r="B10" s="12"/>
      <c r="C10" s="7">
        <f t="shared" si="0"/>
        <v>31</v>
      </c>
      <c r="D10" s="15">
        <v>4.9200000000000001E-2</v>
      </c>
      <c r="E10" s="9">
        <f t="shared" si="1"/>
        <v>783.16018454709149</v>
      </c>
      <c r="F10" s="11">
        <v>30996.59</v>
      </c>
      <c r="G10" s="11">
        <f t="shared" si="2"/>
        <v>24277.965720959837</v>
      </c>
      <c r="H10" s="9">
        <f t="shared" si="3"/>
        <v>6718.6242790401629</v>
      </c>
      <c r="I10" s="11">
        <f t="shared" si="4"/>
        <v>5723721.7504557762</v>
      </c>
      <c r="J10" s="11"/>
    </row>
    <row r="11" spans="1:10">
      <c r="A11" s="12">
        <v>46079</v>
      </c>
      <c r="B11" s="12"/>
      <c r="C11" s="7">
        <f t="shared" si="0"/>
        <v>31</v>
      </c>
      <c r="D11" s="15">
        <v>4.9200000000000001E-2</v>
      </c>
      <c r="E11" s="9">
        <f t="shared" si="1"/>
        <v>782.24197256228945</v>
      </c>
      <c r="F11" s="11">
        <v>30996.59</v>
      </c>
      <c r="G11" s="11">
        <f t="shared" si="2"/>
        <v>24249.501149430973</v>
      </c>
      <c r="H11" s="9">
        <f t="shared" si="3"/>
        <v>6747.0888505690273</v>
      </c>
      <c r="I11" s="11">
        <f t="shared" si="4"/>
        <v>5716974.6616052072</v>
      </c>
      <c r="J11" s="11"/>
    </row>
    <row r="12" spans="1:10">
      <c r="A12" s="14">
        <v>46107</v>
      </c>
      <c r="B12" s="12"/>
      <c r="C12" s="7">
        <f t="shared" si="0"/>
        <v>28</v>
      </c>
      <c r="D12" s="15">
        <v>4.9200000000000001E-2</v>
      </c>
      <c r="E12" s="9">
        <f t="shared" si="1"/>
        <v>781.31987041937828</v>
      </c>
      <c r="F12" s="11">
        <v>30996.59</v>
      </c>
      <c r="G12" s="11">
        <f t="shared" si="2"/>
        <v>21876.956371742592</v>
      </c>
      <c r="H12" s="9">
        <f t="shared" si="3"/>
        <v>9119.6336282574084</v>
      </c>
      <c r="I12" s="11">
        <f t="shared" si="4"/>
        <v>5707855.0279769497</v>
      </c>
      <c r="J12" s="11"/>
    </row>
    <row r="13" spans="1:10">
      <c r="A13" s="12">
        <v>46138</v>
      </c>
      <c r="B13" s="12"/>
      <c r="C13" s="7">
        <f t="shared" si="0"/>
        <v>31</v>
      </c>
      <c r="D13" s="15">
        <v>4.9200000000000001E-2</v>
      </c>
      <c r="E13" s="9">
        <f t="shared" si="1"/>
        <v>780.07352049018311</v>
      </c>
      <c r="F13" s="11">
        <v>30996.59</v>
      </c>
      <c r="G13" s="11">
        <f t="shared" si="2"/>
        <v>24182.279135195677</v>
      </c>
      <c r="H13" s="9">
        <f t="shared" si="3"/>
        <v>6814.3108648043235</v>
      </c>
      <c r="I13" s="11">
        <f t="shared" si="4"/>
        <v>5701040.7171121454</v>
      </c>
      <c r="J13" s="11"/>
    </row>
    <row r="14" spans="1:10">
      <c r="A14" s="14">
        <v>46168</v>
      </c>
      <c r="B14" s="12"/>
      <c r="C14" s="7">
        <f t="shared" si="0"/>
        <v>30</v>
      </c>
      <c r="D14" s="15">
        <v>4.9200000000000001E-2</v>
      </c>
      <c r="E14" s="9">
        <f t="shared" si="1"/>
        <v>779.14223133865983</v>
      </c>
      <c r="F14" s="11">
        <v>30996.59</v>
      </c>
      <c r="G14" s="11">
        <f t="shared" si="2"/>
        <v>23374.266940159796</v>
      </c>
      <c r="H14" s="9">
        <f t="shared" si="3"/>
        <v>7622.3230598402042</v>
      </c>
      <c r="I14" s="11">
        <f t="shared" si="4"/>
        <v>5693418.3940523053</v>
      </c>
      <c r="J14" s="11"/>
    </row>
    <row r="15" spans="1:10">
      <c r="A15" s="12">
        <v>46199</v>
      </c>
      <c r="C15" s="7">
        <f t="shared" si="0"/>
        <v>31</v>
      </c>
      <c r="D15" s="15">
        <v>4.9200000000000001E-2</v>
      </c>
      <c r="E15" s="9">
        <f t="shared" si="1"/>
        <v>778.10051385381507</v>
      </c>
      <c r="F15" s="11">
        <v>30996.59</v>
      </c>
      <c r="G15" s="11">
        <f t="shared" si="2"/>
        <v>24121.115929468266</v>
      </c>
      <c r="H15" s="9">
        <f t="shared" si="3"/>
        <v>6875.4740705317345</v>
      </c>
      <c r="I15" s="11">
        <f t="shared" si="4"/>
        <v>5686542.9199817739</v>
      </c>
      <c r="J15" s="11"/>
    </row>
    <row r="16" spans="1:10">
      <c r="A16" s="14">
        <v>46229</v>
      </c>
      <c r="C16" s="7">
        <f t="shared" si="0"/>
        <v>30</v>
      </c>
      <c r="D16" s="15">
        <v>4.9200000000000001E-2</v>
      </c>
      <c r="E16" s="9">
        <f t="shared" si="1"/>
        <v>777.16086573084237</v>
      </c>
      <c r="F16" s="11">
        <v>30996.59</v>
      </c>
      <c r="G16" s="11">
        <f t="shared" si="2"/>
        <v>23314.825971925271</v>
      </c>
      <c r="H16" s="9">
        <f t="shared" si="3"/>
        <v>7681.7640280747291</v>
      </c>
      <c r="I16" s="11">
        <f t="shared" si="4"/>
        <v>5678861.1559536988</v>
      </c>
      <c r="J16" s="11"/>
    </row>
    <row r="17" spans="1:9">
      <c r="A17" s="12">
        <v>46260</v>
      </c>
      <c r="C17" s="7">
        <f t="shared" si="0"/>
        <v>31</v>
      </c>
      <c r="D17" s="15">
        <v>4.9200000000000001E-2</v>
      </c>
      <c r="E17" s="9">
        <f t="shared" si="1"/>
        <v>776.11102464700559</v>
      </c>
      <c r="F17" s="11">
        <v>30996.59</v>
      </c>
      <c r="G17" s="11">
        <f t="shared" si="2"/>
        <v>24059.441764057174</v>
      </c>
      <c r="H17" s="9">
        <f t="shared" si="3"/>
        <v>6937.1482359428264</v>
      </c>
      <c r="I17" s="11">
        <f t="shared" si="4"/>
        <v>5671924.0077177556</v>
      </c>
    </row>
    <row r="18" spans="1:9">
      <c r="A18" s="14">
        <v>46291</v>
      </c>
      <c r="C18" s="7">
        <f t="shared" si="0"/>
        <v>31</v>
      </c>
      <c r="D18" s="15">
        <v>4.9200000000000001E-2</v>
      </c>
      <c r="E18" s="9">
        <f t="shared" si="1"/>
        <v>775.16294772142658</v>
      </c>
      <c r="F18" s="11">
        <v>30996.59</v>
      </c>
      <c r="G18" s="11">
        <f t="shared" si="2"/>
        <v>24030.051379364224</v>
      </c>
      <c r="H18" s="9">
        <f t="shared" si="3"/>
        <v>6966.5386206357762</v>
      </c>
      <c r="I18" s="11">
        <f t="shared" si="4"/>
        <v>5664957.4690971198</v>
      </c>
    </row>
    <row r="19" spans="1:9">
      <c r="A19" s="12">
        <v>46321</v>
      </c>
      <c r="C19" s="7">
        <f t="shared" si="0"/>
        <v>30</v>
      </c>
      <c r="D19" s="15">
        <v>4.9200000000000001E-2</v>
      </c>
      <c r="E19" s="9">
        <f t="shared" si="1"/>
        <v>774.21085410993965</v>
      </c>
      <c r="F19" s="11">
        <v>30996.59</v>
      </c>
      <c r="G19" s="11">
        <f t="shared" si="2"/>
        <v>23226.325623298188</v>
      </c>
      <c r="H19" s="9">
        <f t="shared" si="3"/>
        <v>7770.2643767018126</v>
      </c>
      <c r="I19" s="11">
        <f t="shared" si="4"/>
        <v>5657187.204720418</v>
      </c>
    </row>
    <row r="20" spans="1:9">
      <c r="A20" s="14">
        <v>46352</v>
      </c>
      <c r="C20" s="7">
        <f t="shared" si="0"/>
        <v>31</v>
      </c>
      <c r="D20" s="15">
        <v>4.9200000000000001E-2</v>
      </c>
      <c r="E20" s="9">
        <f t="shared" si="1"/>
        <v>773.14891797845712</v>
      </c>
      <c r="F20" s="11">
        <v>30996.59</v>
      </c>
      <c r="G20" s="11">
        <f t="shared" si="2"/>
        <v>23967.616457332169</v>
      </c>
      <c r="H20" s="9">
        <f t="shared" si="3"/>
        <v>7028.9735426678308</v>
      </c>
      <c r="I20" s="11">
        <f t="shared" si="4"/>
        <v>5650158.23117775</v>
      </c>
    </row>
    <row r="21" spans="1:9">
      <c r="A21" s="12">
        <v>46382</v>
      </c>
      <c r="C21" s="7">
        <f t="shared" si="0"/>
        <v>30</v>
      </c>
      <c r="D21" s="15">
        <v>4.9200000000000001E-2</v>
      </c>
      <c r="E21" s="9">
        <f t="shared" si="1"/>
        <v>772.18829159429254</v>
      </c>
      <c r="F21" s="11">
        <v>30996.59</v>
      </c>
      <c r="G21" s="11">
        <f t="shared" si="2"/>
        <v>23165.648747828775</v>
      </c>
      <c r="H21" s="9">
        <f t="shared" si="3"/>
        <v>7830.9412521712256</v>
      </c>
      <c r="I21" s="11">
        <f t="shared" si="4"/>
        <v>5642327.289925579</v>
      </c>
    </row>
    <row r="22" spans="1:9">
      <c r="A22" s="14">
        <v>46413</v>
      </c>
      <c r="C22" s="7">
        <f t="shared" si="0"/>
        <v>31</v>
      </c>
      <c r="D22" s="15">
        <v>4.9200000000000001E-2</v>
      </c>
      <c r="E22" s="9">
        <f t="shared" si="1"/>
        <v>771.11806295649581</v>
      </c>
      <c r="F22" s="11">
        <v>30996.59</v>
      </c>
      <c r="G22" s="11">
        <f t="shared" si="2"/>
        <v>23904.659951651371</v>
      </c>
      <c r="H22" s="9">
        <f t="shared" si="3"/>
        <v>7091.9300483486295</v>
      </c>
      <c r="I22" s="11">
        <f t="shared" si="4"/>
        <v>5635235.3598772306</v>
      </c>
    </row>
    <row r="23" spans="1:9">
      <c r="A23" s="12">
        <v>46444</v>
      </c>
      <c r="C23" s="7">
        <f t="shared" si="0"/>
        <v>31</v>
      </c>
      <c r="D23" s="15">
        <v>4.9200000000000001E-2</v>
      </c>
      <c r="E23" s="9">
        <f t="shared" si="1"/>
        <v>770.14883251655488</v>
      </c>
      <c r="F23" s="11">
        <v>30996.59</v>
      </c>
      <c r="G23" s="11">
        <f t="shared" si="2"/>
        <v>23874.6138080132</v>
      </c>
      <c r="H23" s="9">
        <f t="shared" si="3"/>
        <v>7121.9761919867997</v>
      </c>
      <c r="I23" s="11">
        <f t="shared" si="4"/>
        <v>5628113.3836852442</v>
      </c>
    </row>
    <row r="24" spans="1:9">
      <c r="A24" s="14">
        <v>46472</v>
      </c>
      <c r="C24" s="7">
        <f t="shared" si="0"/>
        <v>28</v>
      </c>
      <c r="D24" s="15">
        <v>4.9200000000000001E-2</v>
      </c>
      <c r="E24" s="9">
        <f t="shared" si="1"/>
        <v>769.17549577031673</v>
      </c>
      <c r="F24" s="11">
        <v>30996.59</v>
      </c>
      <c r="G24" s="11">
        <f t="shared" si="2"/>
        <v>21536.913881568868</v>
      </c>
      <c r="H24" s="9">
        <f t="shared" si="3"/>
        <v>9459.6761184311326</v>
      </c>
      <c r="I24" s="11">
        <f t="shared" si="4"/>
        <v>5618653.7075668136</v>
      </c>
    </row>
    <row r="25" spans="1:9">
      <c r="A25" s="12">
        <v>46503</v>
      </c>
      <c r="C25" s="7">
        <f t="shared" si="0"/>
        <v>31</v>
      </c>
      <c r="D25" s="15">
        <v>4.9200000000000001E-2</v>
      </c>
      <c r="E25" s="9">
        <f t="shared" si="1"/>
        <v>767.88267336746458</v>
      </c>
      <c r="F25" s="11">
        <v>30996.59</v>
      </c>
      <c r="G25" s="11">
        <f t="shared" si="2"/>
        <v>23804.362874391401</v>
      </c>
      <c r="H25" s="9">
        <f t="shared" si="3"/>
        <v>7192.2271256085987</v>
      </c>
      <c r="I25" s="11">
        <f t="shared" si="4"/>
        <v>5611461.4804412052</v>
      </c>
    </row>
    <row r="26" spans="1:9">
      <c r="A26" s="14">
        <v>46533</v>
      </c>
      <c r="C26" s="7">
        <f t="shared" si="0"/>
        <v>30</v>
      </c>
      <c r="D26" s="15">
        <v>4.9200000000000001E-2</v>
      </c>
      <c r="E26" s="9">
        <f t="shared" si="1"/>
        <v>766.89973566029801</v>
      </c>
      <c r="F26" s="11">
        <v>30996.59</v>
      </c>
      <c r="G26" s="11">
        <f t="shared" si="2"/>
        <v>23006.992069808941</v>
      </c>
      <c r="H26" s="9">
        <f t="shared" si="3"/>
        <v>7989.5979301910593</v>
      </c>
      <c r="I26" s="11">
        <f t="shared" si="4"/>
        <v>5603471.8825110141</v>
      </c>
    </row>
    <row r="27" spans="1:9">
      <c r="A27" s="12">
        <v>46564</v>
      </c>
      <c r="C27" s="7">
        <f t="shared" si="0"/>
        <v>31</v>
      </c>
      <c r="D27" s="15">
        <v>4.9200000000000001E-2</v>
      </c>
      <c r="E27" s="9">
        <f t="shared" si="1"/>
        <v>765.80782394317191</v>
      </c>
      <c r="F27" s="11">
        <v>30996.59</v>
      </c>
      <c r="G27" s="11">
        <f t="shared" si="2"/>
        <v>23740.04254223833</v>
      </c>
      <c r="H27" s="9">
        <f t="shared" si="3"/>
        <v>7256.5474577616696</v>
      </c>
      <c r="I27" s="11">
        <f t="shared" si="4"/>
        <v>5596215.3350532521</v>
      </c>
    </row>
    <row r="28" spans="1:9">
      <c r="A28" s="14">
        <v>46594</v>
      </c>
      <c r="C28" s="7">
        <f t="shared" si="0"/>
        <v>30</v>
      </c>
      <c r="D28" s="15">
        <v>4.9200000000000001E-2</v>
      </c>
      <c r="E28" s="9">
        <f t="shared" si="1"/>
        <v>764.81609579061103</v>
      </c>
      <c r="F28" s="11">
        <v>30996.59</v>
      </c>
      <c r="G28" s="11">
        <f t="shared" si="2"/>
        <v>22944.482873718331</v>
      </c>
      <c r="H28" s="9">
        <f t="shared" si="3"/>
        <v>8052.1071262816695</v>
      </c>
      <c r="I28" s="11">
        <f t="shared" si="4"/>
        <v>5588163.2279269705</v>
      </c>
    </row>
    <row r="29" spans="1:9">
      <c r="A29" s="12">
        <v>46625</v>
      </c>
      <c r="C29" s="7">
        <f t="shared" si="0"/>
        <v>31</v>
      </c>
      <c r="D29" s="15">
        <v>4.9200000000000001E-2</v>
      </c>
      <c r="E29" s="9">
        <f t="shared" si="1"/>
        <v>763.71564115001934</v>
      </c>
      <c r="F29" s="11">
        <v>30996.59</v>
      </c>
      <c r="G29" s="11">
        <f t="shared" si="2"/>
        <v>23675.184875650601</v>
      </c>
      <c r="H29" s="9">
        <f t="shared" si="3"/>
        <v>7321.4051243493996</v>
      </c>
      <c r="I29" s="11">
        <f t="shared" si="4"/>
        <v>5580841.8228026209</v>
      </c>
    </row>
    <row r="30" spans="1:9">
      <c r="A30" s="14">
        <v>46656</v>
      </c>
      <c r="C30" s="7">
        <f t="shared" si="0"/>
        <v>31</v>
      </c>
      <c r="D30" s="15">
        <v>4.9200000000000001E-2</v>
      </c>
      <c r="E30" s="9">
        <f t="shared" si="1"/>
        <v>762.71504911635827</v>
      </c>
      <c r="F30" s="11">
        <v>30996.59</v>
      </c>
      <c r="G30" s="11">
        <f t="shared" si="2"/>
        <v>23644.166522607105</v>
      </c>
      <c r="H30" s="9">
        <f t="shared" si="3"/>
        <v>7352.4234773928947</v>
      </c>
      <c r="I30" s="11">
        <f t="shared" si="4"/>
        <v>5573489.3993252283</v>
      </c>
    </row>
    <row r="31" spans="1:9">
      <c r="A31" s="12">
        <v>46686</v>
      </c>
      <c r="C31" s="7">
        <f t="shared" si="0"/>
        <v>30</v>
      </c>
      <c r="D31" s="15">
        <v>4.9200000000000001E-2</v>
      </c>
      <c r="E31" s="9">
        <f t="shared" si="1"/>
        <v>761.71021790778127</v>
      </c>
      <c r="F31" s="11">
        <v>30996.59</v>
      </c>
      <c r="G31" s="11">
        <f t="shared" si="2"/>
        <v>22851.306537233439</v>
      </c>
      <c r="H31" s="9">
        <f t="shared" si="3"/>
        <v>8145.2834627665616</v>
      </c>
      <c r="I31" s="11">
        <f t="shared" si="4"/>
        <v>5565344.1158624617</v>
      </c>
    </row>
    <row r="32" spans="1:9">
      <c r="A32" s="14">
        <v>46717</v>
      </c>
      <c r="C32" s="7">
        <f t="shared" si="0"/>
        <v>31</v>
      </c>
      <c r="D32" s="15">
        <v>4.9200000000000001E-2</v>
      </c>
      <c r="E32" s="9">
        <f t="shared" si="1"/>
        <v>760.59702916786978</v>
      </c>
      <c r="F32" s="11">
        <v>30996.59</v>
      </c>
      <c r="G32" s="11">
        <f t="shared" si="2"/>
        <v>23578.507904203962</v>
      </c>
      <c r="H32" s="9">
        <f t="shared" si="3"/>
        <v>7418.0820957960386</v>
      </c>
      <c r="I32" s="11">
        <f t="shared" si="4"/>
        <v>5557926.0337666655</v>
      </c>
    </row>
    <row r="33" spans="1:9">
      <c r="A33" s="12">
        <v>46747</v>
      </c>
      <c r="C33" s="7">
        <f t="shared" si="0"/>
        <v>30</v>
      </c>
      <c r="D33" s="15">
        <v>4.9200000000000001E-2</v>
      </c>
      <c r="E33" s="9">
        <f t="shared" si="1"/>
        <v>759.58322461477769</v>
      </c>
      <c r="F33" s="11">
        <v>30996.59</v>
      </c>
      <c r="G33" s="11">
        <f t="shared" si="2"/>
        <v>22787.496738443329</v>
      </c>
      <c r="H33" s="9">
        <f t="shared" si="3"/>
        <v>8209.0932615566708</v>
      </c>
      <c r="I33" s="11">
        <f t="shared" si="4"/>
        <v>5549716.9405051088</v>
      </c>
    </row>
    <row r="34" spans="1:9">
      <c r="A34" s="14">
        <v>46778</v>
      </c>
      <c r="C34" s="7">
        <f t="shared" si="0"/>
        <v>31</v>
      </c>
      <c r="D34" s="15">
        <v>4.9200000000000001E-2</v>
      </c>
      <c r="E34" s="9">
        <f t="shared" si="1"/>
        <v>758.46131520236486</v>
      </c>
      <c r="F34" s="11">
        <v>30996.59</v>
      </c>
      <c r="G34" s="11">
        <f t="shared" si="2"/>
        <v>23512.300771273309</v>
      </c>
      <c r="H34" s="9">
        <f t="shared" si="3"/>
        <v>7484.2892287266914</v>
      </c>
      <c r="I34" s="11">
        <f t="shared" si="4"/>
        <v>5542232.6512763817</v>
      </c>
    </row>
    <row r="35" spans="1:9">
      <c r="A35" s="12">
        <v>46809</v>
      </c>
      <c r="C35" s="7">
        <f t="shared" si="0"/>
        <v>31</v>
      </c>
      <c r="D35" s="15">
        <v>4.9200000000000001E-2</v>
      </c>
      <c r="E35" s="9">
        <f t="shared" si="1"/>
        <v>757.43846234110549</v>
      </c>
      <c r="F35" s="11">
        <v>30996.59</v>
      </c>
      <c r="G35" s="11">
        <f t="shared" si="2"/>
        <v>23480.59233257427</v>
      </c>
      <c r="H35" s="9">
        <f t="shared" si="3"/>
        <v>7515.9976674257305</v>
      </c>
      <c r="I35" s="11">
        <f t="shared" si="4"/>
        <v>5534716.6536089564</v>
      </c>
    </row>
    <row r="36" spans="1:9">
      <c r="A36" s="14">
        <v>46838</v>
      </c>
      <c r="C36" s="7">
        <f t="shared" si="0"/>
        <v>29</v>
      </c>
      <c r="D36" s="15">
        <v>4.9200000000000001E-2</v>
      </c>
      <c r="E36" s="9">
        <f t="shared" si="1"/>
        <v>756.41127599322397</v>
      </c>
      <c r="F36" s="11">
        <v>30996.59</v>
      </c>
      <c r="G36" s="11">
        <f t="shared" si="2"/>
        <v>21935.927003803496</v>
      </c>
      <c r="H36" s="9">
        <f t="shared" si="3"/>
        <v>9060.6629961965045</v>
      </c>
      <c r="I36" s="11">
        <f t="shared" si="4"/>
        <v>5525655.9906127602</v>
      </c>
    </row>
    <row r="37" spans="1:9">
      <c r="A37" s="12">
        <v>46869</v>
      </c>
      <c r="C37" s="7">
        <f t="shared" si="0"/>
        <v>31</v>
      </c>
      <c r="D37" s="15">
        <v>4.9200000000000001E-2</v>
      </c>
      <c r="E37" s="9">
        <f t="shared" si="1"/>
        <v>755.17298538374394</v>
      </c>
      <c r="F37" s="11">
        <v>30996.59</v>
      </c>
      <c r="G37" s="11">
        <f t="shared" si="2"/>
        <v>23410.362546896064</v>
      </c>
      <c r="H37" s="9">
        <f t="shared" si="3"/>
        <v>7586.2274531039366</v>
      </c>
      <c r="I37" s="11">
        <f t="shared" si="4"/>
        <v>5518069.763159656</v>
      </c>
    </row>
    <row r="38" spans="1:9">
      <c r="A38" s="14">
        <v>46899</v>
      </c>
      <c r="C38" s="7">
        <f t="shared" si="0"/>
        <v>30</v>
      </c>
      <c r="D38" s="15">
        <v>4.9200000000000001E-2</v>
      </c>
      <c r="E38" s="9">
        <f t="shared" si="1"/>
        <v>754.13620096515308</v>
      </c>
      <c r="F38" s="11">
        <v>30996.59</v>
      </c>
      <c r="G38" s="11">
        <f t="shared" si="2"/>
        <v>22624.086028954593</v>
      </c>
      <c r="H38" s="9">
        <f t="shared" si="3"/>
        <v>8372.5039710454075</v>
      </c>
      <c r="I38" s="11">
        <f t="shared" si="4"/>
        <v>5509697.2591886101</v>
      </c>
    </row>
    <row r="39" spans="1:9">
      <c r="A39" s="12">
        <v>46930</v>
      </c>
      <c r="C39" s="7">
        <f t="shared" si="0"/>
        <v>31</v>
      </c>
      <c r="D39" s="15">
        <v>4.9200000000000001E-2</v>
      </c>
      <c r="E39" s="9">
        <f t="shared" si="1"/>
        <v>752.99195875577664</v>
      </c>
      <c r="F39" s="11">
        <v>30996.59</v>
      </c>
      <c r="G39" s="11">
        <f t="shared" si="2"/>
        <v>23342.750721429074</v>
      </c>
      <c r="H39" s="9">
        <f t="shared" si="3"/>
        <v>7653.8392785709257</v>
      </c>
      <c r="I39" s="11">
        <f t="shared" si="4"/>
        <v>5502043.4199100388</v>
      </c>
    </row>
    <row r="40" spans="1:9">
      <c r="A40" s="14">
        <v>46960</v>
      </c>
      <c r="C40" s="7">
        <f t="shared" si="0"/>
        <v>30</v>
      </c>
      <c r="D40" s="15">
        <v>4.9200000000000001E-2</v>
      </c>
      <c r="E40" s="9">
        <f t="shared" si="1"/>
        <v>751.94593405437206</v>
      </c>
      <c r="F40" s="11">
        <v>30996.59</v>
      </c>
      <c r="G40" s="11">
        <f t="shared" si="2"/>
        <v>22558.378021631161</v>
      </c>
      <c r="H40" s="9">
        <f t="shared" si="3"/>
        <v>8438.2119783688395</v>
      </c>
      <c r="I40" s="11">
        <f t="shared" si="4"/>
        <v>5493605.2079316704</v>
      </c>
    </row>
    <row r="41" spans="1:9">
      <c r="A41" s="12">
        <v>46991</v>
      </c>
      <c r="C41" s="7">
        <f t="shared" si="0"/>
        <v>31</v>
      </c>
      <c r="D41" s="15">
        <v>4.9200000000000001E-2</v>
      </c>
      <c r="E41" s="9">
        <f t="shared" si="1"/>
        <v>750.79271175066162</v>
      </c>
      <c r="F41" s="11">
        <v>30996.59</v>
      </c>
      <c r="G41" s="11">
        <f t="shared" si="2"/>
        <v>23274.57406427051</v>
      </c>
      <c r="H41" s="9">
        <f t="shared" si="3"/>
        <v>7722.0159357294906</v>
      </c>
      <c r="I41" s="11">
        <f t="shared" si="4"/>
        <v>5485883.1919959411</v>
      </c>
    </row>
    <row r="42" spans="1:9">
      <c r="A42" s="14">
        <v>47022</v>
      </c>
      <c r="C42" s="7">
        <f t="shared" si="0"/>
        <v>31</v>
      </c>
      <c r="D42" s="15">
        <v>4.9200000000000001E-2</v>
      </c>
      <c r="E42" s="9">
        <f t="shared" si="1"/>
        <v>749.73736957277868</v>
      </c>
      <c r="F42" s="11">
        <v>30996.59</v>
      </c>
      <c r="G42" s="11">
        <f t="shared" si="2"/>
        <v>23241.858456756137</v>
      </c>
      <c r="H42" s="9">
        <f t="shared" si="3"/>
        <v>7754.7315432438627</v>
      </c>
      <c r="I42" s="11">
        <f t="shared" si="4"/>
        <v>5478128.4604526972</v>
      </c>
    </row>
    <row r="43" spans="1:9">
      <c r="A43" s="12">
        <v>47052</v>
      </c>
      <c r="C43" s="7">
        <f t="shared" si="0"/>
        <v>30</v>
      </c>
      <c r="D43" s="15">
        <v>4.9200000000000001E-2</v>
      </c>
      <c r="E43" s="9">
        <f t="shared" si="1"/>
        <v>748.67755626186863</v>
      </c>
      <c r="F43" s="11">
        <v>30996.59</v>
      </c>
      <c r="G43" s="11">
        <f t="shared" si="2"/>
        <v>22460.326687856061</v>
      </c>
      <c r="H43" s="9">
        <f t="shared" si="3"/>
        <v>8536.2633121439394</v>
      </c>
      <c r="I43" s="11">
        <f t="shared" si="4"/>
        <v>5469592.197140553</v>
      </c>
    </row>
    <row r="44" spans="1:9">
      <c r="A44" s="14">
        <v>47083</v>
      </c>
      <c r="C44" s="7">
        <f t="shared" si="0"/>
        <v>31</v>
      </c>
      <c r="D44" s="15">
        <v>4.9200000000000001E-2</v>
      </c>
      <c r="E44" s="9">
        <f t="shared" si="1"/>
        <v>747.51093360920902</v>
      </c>
      <c r="F44" s="11">
        <v>30996.59</v>
      </c>
      <c r="G44" s="11">
        <f t="shared" si="2"/>
        <v>23172.838941885479</v>
      </c>
      <c r="H44" s="9">
        <f t="shared" si="3"/>
        <v>7823.7510581145216</v>
      </c>
      <c r="I44" s="11">
        <f t="shared" si="4"/>
        <v>5461768.4460824383</v>
      </c>
    </row>
    <row r="45" spans="1:9">
      <c r="A45" s="12">
        <v>47113</v>
      </c>
      <c r="C45" s="7">
        <f t="shared" si="0"/>
        <v>30</v>
      </c>
      <c r="D45" s="15">
        <v>4.9200000000000001E-2</v>
      </c>
      <c r="E45" s="9">
        <f t="shared" si="1"/>
        <v>746.44168763126652</v>
      </c>
      <c r="F45" s="11">
        <v>30996.59</v>
      </c>
      <c r="G45" s="11">
        <f t="shared" si="2"/>
        <v>22393.250628937996</v>
      </c>
      <c r="H45" s="9">
        <f t="shared" si="3"/>
        <v>8603.3393710620039</v>
      </c>
      <c r="I45" s="11">
        <f t="shared" si="4"/>
        <v>5453165.1067113765</v>
      </c>
    </row>
    <row r="46" spans="1:9">
      <c r="A46" s="14">
        <v>47144</v>
      </c>
      <c r="C46" s="7">
        <f t="shared" si="0"/>
        <v>31</v>
      </c>
      <c r="D46" s="15">
        <v>4.9200000000000001E-2</v>
      </c>
      <c r="E46" s="9">
        <f t="shared" si="1"/>
        <v>745.26589791722154</v>
      </c>
      <c r="F46" s="11">
        <v>30996.59</v>
      </c>
      <c r="G46" s="11">
        <f t="shared" si="2"/>
        <v>23103.242835433866</v>
      </c>
      <c r="H46" s="9">
        <f t="shared" si="3"/>
        <v>7893.3471645661339</v>
      </c>
      <c r="I46" s="11">
        <f t="shared" si="4"/>
        <v>5445271.7595468108</v>
      </c>
    </row>
    <row r="47" spans="1:9">
      <c r="A47" s="12">
        <v>47175</v>
      </c>
      <c r="C47" s="7">
        <f t="shared" si="0"/>
        <v>31</v>
      </c>
      <c r="D47" s="15">
        <v>4.9200000000000001E-2</v>
      </c>
      <c r="E47" s="9">
        <f t="shared" si="1"/>
        <v>744.18714047139758</v>
      </c>
      <c r="F47" s="11">
        <v>30996.59</v>
      </c>
      <c r="G47" s="11">
        <f t="shared" si="2"/>
        <v>23069.801354613326</v>
      </c>
      <c r="H47" s="9">
        <f t="shared" si="3"/>
        <v>7926.788645386674</v>
      </c>
      <c r="I47" s="11">
        <f t="shared" si="4"/>
        <v>5437344.9709014241</v>
      </c>
    </row>
    <row r="48" spans="1:9">
      <c r="A48" s="14">
        <v>47203</v>
      </c>
      <c r="C48" s="7">
        <f t="shared" si="0"/>
        <v>28</v>
      </c>
      <c r="D48" s="15">
        <v>4.9200000000000001E-2</v>
      </c>
      <c r="E48" s="9">
        <f t="shared" si="1"/>
        <v>743.10381268986123</v>
      </c>
      <c r="F48" s="11">
        <v>30996.59</v>
      </c>
      <c r="G48" s="11">
        <f t="shared" si="2"/>
        <v>20806.906755316115</v>
      </c>
      <c r="H48" s="9">
        <f t="shared" si="3"/>
        <v>10189.683244683885</v>
      </c>
      <c r="I48" s="11">
        <f t="shared" si="4"/>
        <v>5427155.2876567403</v>
      </c>
    </row>
    <row r="49" spans="1:9">
      <c r="A49" s="12">
        <v>47234</v>
      </c>
      <c r="C49" s="7">
        <f t="shared" si="0"/>
        <v>31</v>
      </c>
      <c r="D49" s="15">
        <v>4.9200000000000001E-2</v>
      </c>
      <c r="E49" s="9">
        <f t="shared" si="1"/>
        <v>741.71122264642122</v>
      </c>
      <c r="F49" s="11">
        <v>30996.59</v>
      </c>
      <c r="G49" s="11">
        <f t="shared" si="2"/>
        <v>22993.047902039059</v>
      </c>
      <c r="H49" s="9">
        <f t="shared" si="3"/>
        <v>8003.5420979609407</v>
      </c>
      <c r="I49" s="11">
        <f t="shared" si="4"/>
        <v>5419151.7455587797</v>
      </c>
    </row>
    <row r="50" spans="1:9">
      <c r="A50" s="14">
        <v>47264</v>
      </c>
      <c r="C50" s="7">
        <f t="shared" si="0"/>
        <v>30</v>
      </c>
      <c r="D50" s="15">
        <v>4.9200000000000001E-2</v>
      </c>
      <c r="E50" s="9">
        <f t="shared" si="1"/>
        <v>740.61740522636649</v>
      </c>
      <c r="F50" s="11">
        <v>30996.59</v>
      </c>
      <c r="G50" s="11">
        <f t="shared" si="2"/>
        <v>22218.522156790994</v>
      </c>
      <c r="H50" s="9">
        <f t="shared" si="3"/>
        <v>8778.0678432090062</v>
      </c>
      <c r="I50" s="11">
        <f t="shared" si="4"/>
        <v>5410373.6777155707</v>
      </c>
    </row>
    <row r="51" spans="1:9">
      <c r="A51" s="12">
        <v>47295</v>
      </c>
      <c r="C51" s="7">
        <f t="shared" si="0"/>
        <v>31</v>
      </c>
      <c r="D51" s="15">
        <v>4.9200000000000001E-2</v>
      </c>
      <c r="E51" s="9">
        <f t="shared" si="1"/>
        <v>739.41773595446136</v>
      </c>
      <c r="F51" s="11">
        <v>30996.59</v>
      </c>
      <c r="G51" s="11">
        <f t="shared" si="2"/>
        <v>22921.949814588301</v>
      </c>
      <c r="H51" s="9">
        <f t="shared" si="3"/>
        <v>8074.6401854116993</v>
      </c>
      <c r="I51" s="11">
        <f t="shared" si="4"/>
        <v>5402299.0375301586</v>
      </c>
    </row>
    <row r="52" spans="1:9">
      <c r="A52" s="14">
        <v>47325</v>
      </c>
      <c r="C52" s="7">
        <f t="shared" si="0"/>
        <v>30</v>
      </c>
      <c r="D52" s="15">
        <v>4.9200000000000001E-2</v>
      </c>
      <c r="E52" s="9">
        <f t="shared" si="1"/>
        <v>738.31420179578834</v>
      </c>
      <c r="F52" s="11">
        <v>30996.59</v>
      </c>
      <c r="G52" s="11">
        <f t="shared" si="2"/>
        <v>22149.426053873649</v>
      </c>
      <c r="H52" s="9">
        <f t="shared" si="3"/>
        <v>8847.1639461263512</v>
      </c>
      <c r="I52" s="11">
        <f t="shared" si="4"/>
        <v>5393451.8735840321</v>
      </c>
    </row>
    <row r="53" spans="1:9">
      <c r="A53" s="12">
        <v>47356</v>
      </c>
      <c r="C53" s="7">
        <f t="shared" si="0"/>
        <v>31</v>
      </c>
      <c r="D53" s="15">
        <v>4.9200000000000001E-2</v>
      </c>
      <c r="E53" s="9">
        <f t="shared" si="1"/>
        <v>737.10508938981775</v>
      </c>
      <c r="F53" s="11">
        <v>30996.59</v>
      </c>
      <c r="G53" s="11">
        <f t="shared" si="2"/>
        <v>22850.257771084351</v>
      </c>
      <c r="H53" s="9">
        <f t="shared" si="3"/>
        <v>8146.3322289156495</v>
      </c>
      <c r="I53" s="11">
        <f t="shared" si="4"/>
        <v>5385305.5413551163</v>
      </c>
    </row>
    <row r="54" spans="1:9">
      <c r="A54" s="14">
        <v>47387</v>
      </c>
      <c r="C54" s="7">
        <f t="shared" si="0"/>
        <v>31</v>
      </c>
      <c r="D54" s="15">
        <v>4.9200000000000001E-2</v>
      </c>
      <c r="E54" s="9">
        <f t="shared" si="1"/>
        <v>735.99175731853256</v>
      </c>
      <c r="F54" s="11">
        <v>30996.59</v>
      </c>
      <c r="G54" s="11">
        <f t="shared" si="2"/>
        <v>22815.744476874508</v>
      </c>
      <c r="H54" s="9">
        <f t="shared" si="3"/>
        <v>8180.845523125492</v>
      </c>
      <c r="I54" s="11">
        <f t="shared" si="4"/>
        <v>5377124.6958319908</v>
      </c>
    </row>
    <row r="55" spans="1:9">
      <c r="A55" s="12">
        <v>47417</v>
      </c>
      <c r="C55" s="7">
        <f t="shared" si="0"/>
        <v>30</v>
      </c>
      <c r="D55" s="15">
        <v>4.9200000000000001E-2</v>
      </c>
      <c r="E55" s="9">
        <f t="shared" si="1"/>
        <v>734.87370843037206</v>
      </c>
      <c r="F55" s="11">
        <v>30996.59</v>
      </c>
      <c r="G55" s="11">
        <f t="shared" si="2"/>
        <v>22046.211252911162</v>
      </c>
      <c r="H55" s="9">
        <f t="shared" si="3"/>
        <v>8950.3787470888383</v>
      </c>
      <c r="I55" s="11">
        <f t="shared" si="4"/>
        <v>5368174.317084902</v>
      </c>
    </row>
    <row r="56" spans="1:9">
      <c r="A56" s="14">
        <v>47448</v>
      </c>
      <c r="C56" s="7">
        <f t="shared" si="0"/>
        <v>31</v>
      </c>
      <c r="D56" s="15">
        <v>4.9200000000000001E-2</v>
      </c>
      <c r="E56" s="9">
        <f t="shared" si="1"/>
        <v>733.65049000160332</v>
      </c>
      <c r="F56" s="11">
        <v>30996.59</v>
      </c>
      <c r="G56" s="11">
        <f t="shared" si="2"/>
        <v>22743.165190049702</v>
      </c>
      <c r="H56" s="9">
        <f t="shared" si="3"/>
        <v>8253.4248099502984</v>
      </c>
      <c r="I56" s="11">
        <f t="shared" si="4"/>
        <v>5359920.8922749516</v>
      </c>
    </row>
    <row r="57" spans="1:9">
      <c r="A57" s="12">
        <v>47478</v>
      </c>
      <c r="C57" s="7">
        <f t="shared" si="0"/>
        <v>30</v>
      </c>
      <c r="D57" s="15">
        <v>4.9200000000000001E-2</v>
      </c>
      <c r="E57" s="9">
        <f t="shared" si="1"/>
        <v>732.52252194424329</v>
      </c>
      <c r="F57" s="11">
        <v>30996.59</v>
      </c>
      <c r="G57" s="11">
        <f t="shared" si="2"/>
        <v>21975.675658327298</v>
      </c>
      <c r="H57" s="9">
        <f t="shared" si="3"/>
        <v>9020.914341672702</v>
      </c>
      <c r="I57" s="11">
        <f t="shared" si="4"/>
        <v>5350899.9779332792</v>
      </c>
    </row>
    <row r="58" spans="1:9">
      <c r="A58" s="14">
        <v>47509</v>
      </c>
      <c r="C58" s="7">
        <f t="shared" si="0"/>
        <v>31</v>
      </c>
      <c r="D58" s="15">
        <v>4.9200000000000001E-2</v>
      </c>
      <c r="E58" s="9">
        <f t="shared" si="1"/>
        <v>731.28966365088138</v>
      </c>
      <c r="F58" s="11">
        <v>30996.59</v>
      </c>
      <c r="G58" s="11">
        <f t="shared" si="2"/>
        <v>22669.979573177323</v>
      </c>
      <c r="H58" s="9">
        <f t="shared" si="3"/>
        <v>8326.6104268226773</v>
      </c>
      <c r="I58" s="11">
        <f t="shared" si="4"/>
        <v>5342573.3675064566</v>
      </c>
    </row>
    <row r="59" spans="1:9">
      <c r="A59" s="12">
        <v>47540</v>
      </c>
      <c r="C59" s="7">
        <f t="shared" si="0"/>
        <v>31</v>
      </c>
      <c r="D59" s="15">
        <v>4.9200000000000001E-2</v>
      </c>
      <c r="E59" s="9">
        <f t="shared" si="1"/>
        <v>730.15169355921569</v>
      </c>
      <c r="F59" s="11">
        <v>30996.59</v>
      </c>
      <c r="G59" s="11">
        <f t="shared" si="2"/>
        <v>22634.702500335687</v>
      </c>
      <c r="H59" s="9">
        <f t="shared" si="3"/>
        <v>8361.8874996643135</v>
      </c>
      <c r="I59" s="11">
        <f t="shared" si="4"/>
        <v>5334211.4800067926</v>
      </c>
    </row>
    <row r="60" spans="1:9">
      <c r="A60" s="14">
        <v>47568</v>
      </c>
      <c r="C60" s="7">
        <f t="shared" si="0"/>
        <v>28</v>
      </c>
      <c r="D60" s="15">
        <v>4.9200000000000001E-2</v>
      </c>
      <c r="E60" s="9">
        <f t="shared" si="1"/>
        <v>729.00890226759498</v>
      </c>
      <c r="F60" s="11">
        <v>30996.59</v>
      </c>
      <c r="G60" s="11">
        <f t="shared" si="2"/>
        <v>20412.24926349266</v>
      </c>
      <c r="H60" s="9">
        <f t="shared" si="3"/>
        <v>10584.34073650734</v>
      </c>
      <c r="I60" s="11">
        <f t="shared" si="4"/>
        <v>5323627.1392702851</v>
      </c>
    </row>
    <row r="61" spans="1:9">
      <c r="A61" s="12">
        <v>47599</v>
      </c>
      <c r="C61" s="7">
        <f t="shared" si="0"/>
        <v>31</v>
      </c>
      <c r="D61" s="15">
        <v>4.9200000000000001E-2</v>
      </c>
      <c r="E61" s="9">
        <f t="shared" si="1"/>
        <v>727.56237570027236</v>
      </c>
      <c r="F61" s="11">
        <v>30996.59</v>
      </c>
      <c r="G61" s="11">
        <f t="shared" si="2"/>
        <v>22554.433646708443</v>
      </c>
      <c r="H61" s="9">
        <f t="shared" si="3"/>
        <v>8442.156353291557</v>
      </c>
      <c r="I61" s="11">
        <f t="shared" si="4"/>
        <v>5315184.982916994</v>
      </c>
    </row>
    <row r="62" spans="1:9">
      <c r="A62" s="14">
        <v>47629</v>
      </c>
      <c r="C62" s="7">
        <f t="shared" si="0"/>
        <v>30</v>
      </c>
      <c r="D62" s="15">
        <v>4.9200000000000001E-2</v>
      </c>
      <c r="E62" s="9">
        <f t="shared" si="1"/>
        <v>726.40861433198916</v>
      </c>
      <c r="F62" s="11">
        <v>30996.59</v>
      </c>
      <c r="G62" s="11">
        <f t="shared" si="2"/>
        <v>21792.258429959675</v>
      </c>
      <c r="H62" s="9">
        <f t="shared" si="3"/>
        <v>9204.3315700403255</v>
      </c>
      <c r="I62" s="11">
        <f t="shared" si="4"/>
        <v>5305980.6513469536</v>
      </c>
    </row>
    <row r="63" spans="1:9">
      <c r="A63" s="12">
        <v>47660</v>
      </c>
      <c r="C63" s="7">
        <f t="shared" si="0"/>
        <v>31</v>
      </c>
      <c r="D63" s="15">
        <v>4.9200000000000001E-2</v>
      </c>
      <c r="E63" s="9">
        <f t="shared" si="1"/>
        <v>725.15068901741699</v>
      </c>
      <c r="F63" s="11">
        <v>30996.59</v>
      </c>
      <c r="G63" s="11">
        <f t="shared" si="2"/>
        <v>22479.671359539927</v>
      </c>
      <c r="H63" s="9">
        <f t="shared" si="3"/>
        <v>8516.9186404600732</v>
      </c>
      <c r="I63" s="11">
        <f t="shared" si="4"/>
        <v>5297463.7327064937</v>
      </c>
    </row>
    <row r="64" spans="1:9">
      <c r="A64" s="14">
        <v>47690</v>
      </c>
      <c r="C64" s="7">
        <f t="shared" si="0"/>
        <v>30</v>
      </c>
      <c r="D64" s="15">
        <v>4.9200000000000001E-2</v>
      </c>
      <c r="E64" s="9">
        <f t="shared" si="1"/>
        <v>723.98671013655417</v>
      </c>
      <c r="F64" s="11">
        <v>30996.59</v>
      </c>
      <c r="G64" s="11">
        <f t="shared" si="2"/>
        <v>21719.601304096625</v>
      </c>
      <c r="H64" s="9">
        <f t="shared" si="3"/>
        <v>9276.9886959033756</v>
      </c>
      <c r="I64" s="11">
        <f t="shared" si="4"/>
        <v>5288186.74401059</v>
      </c>
    </row>
    <row r="65" spans="1:9">
      <c r="A65" s="12">
        <v>47721</v>
      </c>
      <c r="C65" s="7">
        <f t="shared" si="0"/>
        <v>31</v>
      </c>
      <c r="D65" s="15">
        <v>4.9200000000000001E-2</v>
      </c>
      <c r="E65" s="9">
        <f t="shared" si="1"/>
        <v>722.71885501478073</v>
      </c>
      <c r="F65" s="11">
        <v>30996.59</v>
      </c>
      <c r="G65" s="11">
        <f t="shared" si="2"/>
        <v>22404.284505458203</v>
      </c>
      <c r="H65" s="9">
        <f t="shared" si="3"/>
        <v>8592.3054945417971</v>
      </c>
      <c r="I65" s="11">
        <f t="shared" si="4"/>
        <v>5279594.4385160478</v>
      </c>
    </row>
    <row r="66" spans="1:9">
      <c r="A66" s="14">
        <v>47752</v>
      </c>
      <c r="C66" s="7">
        <f t="shared" si="0"/>
        <v>31</v>
      </c>
      <c r="D66" s="15">
        <v>4.9200000000000001E-2</v>
      </c>
      <c r="E66" s="9">
        <f t="shared" si="1"/>
        <v>721.54457326385989</v>
      </c>
      <c r="F66" s="11">
        <v>30996.59</v>
      </c>
      <c r="G66" s="11">
        <f t="shared" si="2"/>
        <v>22367.881771179658</v>
      </c>
      <c r="H66" s="9">
        <f t="shared" si="3"/>
        <v>8628.7082288203419</v>
      </c>
      <c r="I66" s="11">
        <f t="shared" si="4"/>
        <v>5270965.7302872278</v>
      </c>
    </row>
    <row r="67" spans="1:9">
      <c r="A67" s="12">
        <v>47782</v>
      </c>
      <c r="C67" s="7">
        <f t="shared" si="0"/>
        <v>30</v>
      </c>
      <c r="D67" s="15">
        <v>4.9200000000000001E-2</v>
      </c>
      <c r="E67" s="9">
        <f t="shared" si="1"/>
        <v>720.36531647258789</v>
      </c>
      <c r="F67" s="11">
        <v>30996.59</v>
      </c>
      <c r="G67" s="11">
        <f t="shared" si="2"/>
        <v>21610.959494177638</v>
      </c>
      <c r="H67" s="9">
        <f t="shared" si="3"/>
        <v>9385.6305058223625</v>
      </c>
      <c r="I67" s="11">
        <f t="shared" si="4"/>
        <v>5261580.0997814052</v>
      </c>
    </row>
    <row r="68" spans="1:9">
      <c r="A68" s="14">
        <v>47813</v>
      </c>
      <c r="C68" s="7">
        <f t="shared" ref="C68:C86" si="5">A68-A67</f>
        <v>31</v>
      </c>
      <c r="D68" s="15">
        <v>4.9200000000000001E-2</v>
      </c>
      <c r="E68" s="9">
        <f t="shared" ref="E68:E86" si="6">I67*D68/360</f>
        <v>719.08261363679208</v>
      </c>
      <c r="F68" s="11">
        <v>30996.59</v>
      </c>
      <c r="G68" s="11">
        <f t="shared" ref="G68:G86" si="7">C68*E68</f>
        <v>22291.561022740556</v>
      </c>
      <c r="H68" s="9">
        <f t="shared" ref="H68:H86" si="8">F68-G68</f>
        <v>8705.0289772594442</v>
      </c>
      <c r="I68" s="11">
        <f t="shared" ref="I68:I86" si="9">I67-H68</f>
        <v>5252875.0708041461</v>
      </c>
    </row>
    <row r="69" spans="1:9">
      <c r="A69" s="12">
        <v>47843</v>
      </c>
      <c r="C69" s="7">
        <f t="shared" si="5"/>
        <v>30</v>
      </c>
      <c r="D69" s="15">
        <v>4.9200000000000001E-2</v>
      </c>
      <c r="E69" s="9">
        <f t="shared" si="6"/>
        <v>717.89292634323328</v>
      </c>
      <c r="F69" s="11">
        <v>30996.59</v>
      </c>
      <c r="G69" s="11">
        <f t="shared" si="7"/>
        <v>21536.787790296999</v>
      </c>
      <c r="H69" s="9">
        <f t="shared" si="8"/>
        <v>9459.8022097030007</v>
      </c>
      <c r="I69" s="11">
        <f t="shared" si="9"/>
        <v>5243415.2685944429</v>
      </c>
    </row>
    <row r="70" spans="1:9">
      <c r="A70" s="14">
        <v>47874</v>
      </c>
      <c r="C70" s="7">
        <f t="shared" si="5"/>
        <v>31</v>
      </c>
      <c r="D70" s="15">
        <v>4.9200000000000001E-2</v>
      </c>
      <c r="E70" s="9">
        <f t="shared" si="6"/>
        <v>716.60008670790717</v>
      </c>
      <c r="F70" s="11">
        <v>30996.59</v>
      </c>
      <c r="G70" s="11">
        <f t="shared" si="7"/>
        <v>22214.602687945124</v>
      </c>
      <c r="H70" s="9">
        <f t="shared" si="8"/>
        <v>8781.9873120548764</v>
      </c>
      <c r="I70" s="11">
        <f t="shared" si="9"/>
        <v>5234633.2812823877</v>
      </c>
    </row>
    <row r="71" spans="1:9">
      <c r="A71" s="12">
        <v>47905</v>
      </c>
      <c r="C71" s="7">
        <f t="shared" si="5"/>
        <v>31</v>
      </c>
      <c r="D71" s="15">
        <v>4.9200000000000001E-2</v>
      </c>
      <c r="E71" s="9">
        <f t="shared" si="6"/>
        <v>715.3998817752597</v>
      </c>
      <c r="F71" s="11">
        <v>30996.59</v>
      </c>
      <c r="G71" s="11">
        <f t="shared" si="7"/>
        <v>22177.396335033052</v>
      </c>
      <c r="H71" s="9">
        <f t="shared" si="8"/>
        <v>8819.1936649669478</v>
      </c>
      <c r="I71" s="11">
        <f t="shared" si="9"/>
        <v>5225814.0876174206</v>
      </c>
    </row>
    <row r="72" spans="1:9">
      <c r="A72" s="14">
        <v>47933</v>
      </c>
      <c r="C72" s="7">
        <f t="shared" si="5"/>
        <v>28</v>
      </c>
      <c r="D72" s="15">
        <v>4.9200000000000001E-2</v>
      </c>
      <c r="E72" s="9">
        <f t="shared" si="6"/>
        <v>714.19459197438084</v>
      </c>
      <c r="F72" s="11">
        <v>30996.59</v>
      </c>
      <c r="G72" s="11">
        <f t="shared" si="7"/>
        <v>19997.448575282662</v>
      </c>
      <c r="H72" s="9">
        <f t="shared" si="8"/>
        <v>10999.141424717338</v>
      </c>
      <c r="I72" s="11">
        <f t="shared" si="9"/>
        <v>5214814.9461927032</v>
      </c>
    </row>
    <row r="73" spans="1:9">
      <c r="A73" s="12">
        <v>47964</v>
      </c>
      <c r="C73" s="7">
        <f t="shared" si="5"/>
        <v>31</v>
      </c>
      <c r="D73" s="15">
        <v>4.9200000000000001E-2</v>
      </c>
      <c r="E73" s="9">
        <f t="shared" si="6"/>
        <v>712.69137597966937</v>
      </c>
      <c r="F73" s="11">
        <v>30996.59</v>
      </c>
      <c r="G73" s="11">
        <f t="shared" si="7"/>
        <v>22093.43265536975</v>
      </c>
      <c r="H73" s="9">
        <f t="shared" si="8"/>
        <v>8903.15734463025</v>
      </c>
      <c r="I73" s="11">
        <f t="shared" si="9"/>
        <v>5205911.7888480732</v>
      </c>
    </row>
    <row r="74" spans="1:9">
      <c r="A74" s="14">
        <v>47994</v>
      </c>
      <c r="C74" s="7">
        <f t="shared" si="5"/>
        <v>30</v>
      </c>
      <c r="D74" s="15">
        <v>4.9200000000000001E-2</v>
      </c>
      <c r="E74" s="9">
        <f t="shared" si="6"/>
        <v>711.4746111425701</v>
      </c>
      <c r="F74" s="11">
        <v>30996.59</v>
      </c>
      <c r="G74" s="11">
        <f t="shared" si="7"/>
        <v>21344.238334277103</v>
      </c>
      <c r="H74" s="9">
        <f t="shared" si="8"/>
        <v>9652.3516657228975</v>
      </c>
      <c r="I74" s="11">
        <f t="shared" si="9"/>
        <v>5196259.4371823501</v>
      </c>
    </row>
    <row r="75" spans="1:9">
      <c r="A75" s="12">
        <v>48025</v>
      </c>
      <c r="C75" s="7">
        <f t="shared" si="5"/>
        <v>31</v>
      </c>
      <c r="D75" s="15">
        <v>4.9200000000000001E-2</v>
      </c>
      <c r="E75" s="9">
        <f t="shared" si="6"/>
        <v>710.15545641492122</v>
      </c>
      <c r="F75" s="11">
        <v>30996.59</v>
      </c>
      <c r="G75" s="11">
        <f t="shared" si="7"/>
        <v>22014.819148862556</v>
      </c>
      <c r="H75" s="9">
        <f t="shared" si="8"/>
        <v>8981.770851137444</v>
      </c>
      <c r="I75" s="11">
        <f t="shared" si="9"/>
        <v>5187277.666331213</v>
      </c>
    </row>
    <row r="76" spans="1:9">
      <c r="A76" s="14">
        <v>48055</v>
      </c>
      <c r="C76" s="7">
        <f t="shared" si="5"/>
        <v>30</v>
      </c>
      <c r="D76" s="15">
        <v>4.9200000000000001E-2</v>
      </c>
      <c r="E76" s="9">
        <f t="shared" si="6"/>
        <v>708.92794773193248</v>
      </c>
      <c r="F76" s="11">
        <v>30996.59</v>
      </c>
      <c r="G76" s="11">
        <f t="shared" si="7"/>
        <v>21267.838431957975</v>
      </c>
      <c r="H76" s="9">
        <f t="shared" si="8"/>
        <v>9728.7515680420256</v>
      </c>
      <c r="I76" s="11">
        <f t="shared" si="9"/>
        <v>5177548.9147631712</v>
      </c>
    </row>
    <row r="77" spans="1:9">
      <c r="A77" s="12">
        <v>48086</v>
      </c>
      <c r="C77" s="7">
        <f t="shared" si="5"/>
        <v>31</v>
      </c>
      <c r="D77" s="15">
        <v>4.9200000000000001E-2</v>
      </c>
      <c r="E77" s="9">
        <f t="shared" si="6"/>
        <v>707.59835168430004</v>
      </c>
      <c r="F77" s="11">
        <v>30996.59</v>
      </c>
      <c r="G77" s="11">
        <f t="shared" si="7"/>
        <v>21935.548902213301</v>
      </c>
      <c r="H77" s="9">
        <f t="shared" si="8"/>
        <v>9061.0410977866995</v>
      </c>
      <c r="I77" s="11">
        <f t="shared" si="9"/>
        <v>5168487.8736653849</v>
      </c>
    </row>
    <row r="78" spans="1:9">
      <c r="A78" s="14">
        <v>48117</v>
      </c>
      <c r="C78" s="7">
        <f t="shared" si="5"/>
        <v>31</v>
      </c>
      <c r="D78" s="15">
        <v>4.9200000000000001E-2</v>
      </c>
      <c r="E78" s="9">
        <f t="shared" si="6"/>
        <v>706.36000940093595</v>
      </c>
      <c r="F78" s="11">
        <v>30996.59</v>
      </c>
      <c r="G78" s="11">
        <f t="shared" si="7"/>
        <v>21897.160291429016</v>
      </c>
      <c r="H78" s="9">
        <f t="shared" si="8"/>
        <v>9099.4297085709841</v>
      </c>
      <c r="I78" s="11">
        <f t="shared" si="9"/>
        <v>5159388.4439568138</v>
      </c>
    </row>
    <row r="79" spans="1:9">
      <c r="A79" s="12">
        <v>48147</v>
      </c>
      <c r="C79" s="7">
        <f t="shared" si="5"/>
        <v>30</v>
      </c>
      <c r="D79" s="15">
        <v>4.9200000000000001E-2</v>
      </c>
      <c r="E79" s="9">
        <f t="shared" si="6"/>
        <v>705.11642067409787</v>
      </c>
      <c r="F79" s="11">
        <v>30996.59</v>
      </c>
      <c r="G79" s="11">
        <f t="shared" si="7"/>
        <v>21153.492620222936</v>
      </c>
      <c r="H79" s="9">
        <f t="shared" si="8"/>
        <v>9843.0973797770639</v>
      </c>
      <c r="I79" s="11">
        <f t="shared" si="9"/>
        <v>5149545.3465770371</v>
      </c>
    </row>
    <row r="80" spans="1:9">
      <c r="A80" s="14">
        <v>48178</v>
      </c>
      <c r="C80" s="7">
        <f t="shared" si="5"/>
        <v>31</v>
      </c>
      <c r="D80" s="15">
        <v>4.9200000000000001E-2</v>
      </c>
      <c r="E80" s="9">
        <f t="shared" si="6"/>
        <v>703.77119736552845</v>
      </c>
      <c r="F80" s="11">
        <v>30996.59</v>
      </c>
      <c r="G80" s="11">
        <f t="shared" si="7"/>
        <v>21816.907118331383</v>
      </c>
      <c r="H80" s="9">
        <f t="shared" si="8"/>
        <v>9179.6828816686175</v>
      </c>
      <c r="I80" s="11">
        <f t="shared" si="9"/>
        <v>5140365.6636953689</v>
      </c>
    </row>
    <row r="81" spans="1:9">
      <c r="A81" s="12">
        <v>48208</v>
      </c>
      <c r="C81" s="7">
        <f t="shared" si="5"/>
        <v>30</v>
      </c>
      <c r="D81" s="15">
        <v>4.9200000000000001E-2</v>
      </c>
      <c r="E81" s="9">
        <f t="shared" si="6"/>
        <v>702.51664070503375</v>
      </c>
      <c r="F81" s="11">
        <v>30996.59</v>
      </c>
      <c r="G81" s="11">
        <f t="shared" si="7"/>
        <v>21075.499221151011</v>
      </c>
      <c r="H81" s="9">
        <f t="shared" si="8"/>
        <v>9921.0907788489894</v>
      </c>
      <c r="I81" s="11">
        <f t="shared" si="9"/>
        <v>5130444.5729165198</v>
      </c>
    </row>
    <row r="82" spans="1:9">
      <c r="A82" s="14">
        <v>48239</v>
      </c>
      <c r="C82" s="7">
        <f t="shared" si="5"/>
        <v>31</v>
      </c>
      <c r="D82" s="15">
        <v>4.9200000000000001E-2</v>
      </c>
      <c r="E82" s="9">
        <f t="shared" si="6"/>
        <v>701.16075829859096</v>
      </c>
      <c r="F82" s="11">
        <v>30996.59</v>
      </c>
      <c r="G82" s="11">
        <f t="shared" si="7"/>
        <v>21735.983507256318</v>
      </c>
      <c r="H82" s="9">
        <f t="shared" si="8"/>
        <v>9260.6064927436819</v>
      </c>
      <c r="I82" s="11">
        <f t="shared" si="9"/>
        <v>5121183.966423776</v>
      </c>
    </row>
    <row r="83" spans="1:9">
      <c r="A83" s="12">
        <v>48270</v>
      </c>
      <c r="C83" s="7">
        <f t="shared" si="5"/>
        <v>31</v>
      </c>
      <c r="D83" s="15">
        <v>4.9200000000000001E-2</v>
      </c>
      <c r="E83" s="9">
        <f t="shared" si="6"/>
        <v>699.89514207791603</v>
      </c>
      <c r="F83" s="11">
        <v>30996.59</v>
      </c>
      <c r="G83" s="11">
        <f t="shared" si="7"/>
        <v>21696.749404415397</v>
      </c>
      <c r="H83" s="9">
        <f t="shared" si="8"/>
        <v>9299.8405955846029</v>
      </c>
      <c r="I83" s="11">
        <f t="shared" si="9"/>
        <v>5111884.1258281916</v>
      </c>
    </row>
    <row r="84" spans="1:9">
      <c r="A84" s="14">
        <v>48299</v>
      </c>
      <c r="C84" s="7">
        <f t="shared" si="5"/>
        <v>29</v>
      </c>
      <c r="D84" s="15">
        <v>4.9200000000000001E-2</v>
      </c>
      <c r="E84" s="9">
        <f t="shared" si="6"/>
        <v>698.62416386318625</v>
      </c>
      <c r="F84" s="11">
        <v>30996.59</v>
      </c>
      <c r="G84" s="11">
        <f t="shared" si="7"/>
        <v>20260.100752032402</v>
      </c>
      <c r="H84" s="9">
        <f t="shared" si="8"/>
        <v>10736.489247967598</v>
      </c>
      <c r="I84" s="11">
        <f t="shared" si="9"/>
        <v>5101147.6365802241</v>
      </c>
    </row>
    <row r="85" spans="1:9">
      <c r="A85" s="12">
        <v>48330</v>
      </c>
      <c r="C85" s="7">
        <f t="shared" si="5"/>
        <v>31</v>
      </c>
      <c r="D85" s="15">
        <v>4.9200000000000001E-2</v>
      </c>
      <c r="E85" s="9">
        <f t="shared" si="6"/>
        <v>697.15684366596395</v>
      </c>
      <c r="F85" s="11">
        <v>30996.59</v>
      </c>
      <c r="G85" s="11">
        <f t="shared" si="7"/>
        <v>21611.862153644881</v>
      </c>
      <c r="H85" s="9">
        <f t="shared" si="8"/>
        <v>9384.7278463551193</v>
      </c>
      <c r="I85" s="11">
        <f t="shared" si="9"/>
        <v>5091762.908733869</v>
      </c>
    </row>
    <row r="86" spans="1:9">
      <c r="A86" s="14">
        <v>48360</v>
      </c>
      <c r="C86" s="7">
        <f t="shared" si="5"/>
        <v>30</v>
      </c>
      <c r="D86" s="15">
        <v>4.9200000000000001E-2</v>
      </c>
      <c r="E86" s="9">
        <f t="shared" si="6"/>
        <v>695.87426419362873</v>
      </c>
      <c r="F86" s="11">
        <v>30996.59</v>
      </c>
      <c r="G86" s="11">
        <f t="shared" si="7"/>
        <v>20876.22792580886</v>
      </c>
      <c r="H86" s="9">
        <f t="shared" si="8"/>
        <v>10120.36207419114</v>
      </c>
      <c r="I86" s="11">
        <f t="shared" si="9"/>
        <v>5081642.5466596782</v>
      </c>
    </row>
  </sheetData>
  <printOptions gridLines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5018241446</vt:lpstr>
      <vt:lpstr>5018814729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A. Gardner</dc:creator>
  <cp:lastModifiedBy>John A. Gardner</cp:lastModifiedBy>
  <cp:lastPrinted>2016-05-06T20:27:23Z</cp:lastPrinted>
  <dcterms:created xsi:type="dcterms:W3CDTF">2011-02-14T16:31:16Z</dcterms:created>
  <dcterms:modified xsi:type="dcterms:W3CDTF">2024-06-05T20:06:30Z</dcterms:modified>
</cp:coreProperties>
</file>