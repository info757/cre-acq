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nickgonzalez/LTP Commercial Dropbox/Nicolas Gonzalez/LTP Public/Listings/MV2 Mooresville Portfolio - NDG/2025 M1:S22 Financials/"/>
    </mc:Choice>
  </mc:AlternateContent>
  <xr:revisionPtr revIDLastSave="0" documentId="13_ncr:1_{33A61FCB-90CF-6A45-A320-3095A438C00F}" xr6:coauthVersionLast="47" xr6:coauthVersionMax="47" xr10:uidLastSave="{00000000-0000-0000-0000-000000000000}"/>
  <bookViews>
    <workbookView xWindow="0" yWindow="760" windowWidth="34560" windowHeight="19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4" i="1" l="1"/>
  <c r="O114" i="1"/>
  <c r="N114" i="1"/>
  <c r="M114" i="1"/>
  <c r="L114" i="1"/>
  <c r="K114" i="1"/>
  <c r="J114" i="1"/>
  <c r="I114" i="1"/>
  <c r="H114" i="1"/>
</calcChain>
</file>

<file path=xl/sharedStrings.xml><?xml version="1.0" encoding="utf-8"?>
<sst xmlns="http://schemas.openxmlformats.org/spreadsheetml/2006/main" count="430" uniqueCount="240">
  <si>
    <t>Rent Roll (Itemized)</t>
  </si>
  <si>
    <r>
      <rPr>
        <b/>
        <sz val="10"/>
        <color indexed="8"/>
        <rFont val="Verdana"/>
        <family val="2"/>
      </rPr>
      <t xml:space="preserve">All Properties Owned By: </t>
    </r>
    <r>
      <rPr>
        <sz val="10"/>
        <color indexed="8"/>
        <rFont val="Verdana"/>
        <family val="2"/>
      </rPr>
      <t>Mill One, LLC</t>
    </r>
  </si>
  <si>
    <r>
      <rPr>
        <b/>
        <sz val="10"/>
        <color indexed="8"/>
        <rFont val="Verdana"/>
        <family val="2"/>
      </rPr>
      <t xml:space="preserve">Units: </t>
    </r>
    <r>
      <rPr>
        <sz val="10"/>
        <color indexed="8"/>
        <rFont val="Verdana"/>
        <family val="2"/>
      </rPr>
      <t>Active</t>
    </r>
  </si>
  <si>
    <r>
      <rPr>
        <b/>
        <sz val="10"/>
        <color indexed="8"/>
        <rFont val="Verdana"/>
        <family val="2"/>
      </rPr>
      <t xml:space="preserve">GL Accounts: </t>
    </r>
    <r>
      <rPr>
        <sz val="10"/>
        <color indexed="8"/>
        <rFont val="Verdana"/>
        <family val="2"/>
      </rPr>
      <t>4100: Rent Income, 4212: Technology Fee, 4552: Amenity Fee, 4570: Valet Trash Income, 4580: Parking Fee Income, 5885: Pest Control Fee, 5890: Trash Income, 5910: Monthly Pet Rent, and 6620: Pest Control</t>
    </r>
  </si>
  <si>
    <t>Status</t>
  </si>
  <si>
    <t>Total</t>
  </si>
  <si>
    <t>Lease To</t>
  </si>
  <si>
    <t>Unit</t>
  </si>
  <si>
    <t>BD/BA</t>
  </si>
  <si>
    <t>Tenant</t>
  </si>
  <si>
    <t>Sqft</t>
  </si>
  <si>
    <t>Rent Income</t>
  </si>
  <si>
    <t>Technology Fee</t>
  </si>
  <si>
    <t>Amenity Fee</t>
  </si>
  <si>
    <t>Valet Trash Income</t>
  </si>
  <si>
    <t>Parking Fee Income</t>
  </si>
  <si>
    <t>Pest Control Fee</t>
  </si>
  <si>
    <t>Trash Income</t>
  </si>
  <si>
    <t>Monthly Pet Rent</t>
  </si>
  <si>
    <t>Utility Billing Fee</t>
  </si>
  <si>
    <t>Deposit</t>
  </si>
  <si>
    <t>Last Rent Increase Date</t>
  </si>
  <si>
    <t>Move-in</t>
  </si>
  <si>
    <t>Current</t>
  </si>
  <si>
    <t>Suite 103</t>
  </si>
  <si>
    <t>--/--</t>
  </si>
  <si>
    <t>Crave Cookie</t>
  </si>
  <si>
    <t>Suite 104</t>
  </si>
  <si>
    <t>MV2 Investments</t>
  </si>
  <si>
    <t>Vacant-Rented</t>
  </si>
  <si>
    <t>Suite 106</t>
  </si>
  <si>
    <t>Proway Garage Doors</t>
  </si>
  <si>
    <t>1</t>
  </si>
  <si>
    <t>Savannah Oyster Company</t>
  </si>
  <si>
    <t>2</t>
  </si>
  <si>
    <t>Eat A Bowl</t>
  </si>
  <si>
    <t>3</t>
  </si>
  <si>
    <t>Acqua Ragazza</t>
  </si>
  <si>
    <t>6</t>
  </si>
  <si>
    <t>Buah Juice Bar, LLC</t>
  </si>
  <si>
    <t>7</t>
  </si>
  <si>
    <t>19th Tee</t>
  </si>
  <si>
    <t>8</t>
  </si>
  <si>
    <t>Mikula Salon &amp; Spa</t>
  </si>
  <si>
    <t>9</t>
  </si>
  <si>
    <t>Liberty Mutual</t>
  </si>
  <si>
    <t>10</t>
  </si>
  <si>
    <t>IVYREHAB PHYSICAL THERAPY, PLL</t>
  </si>
  <si>
    <t>11</t>
  </si>
  <si>
    <t>Rio 150</t>
  </si>
  <si>
    <t>200</t>
  </si>
  <si>
    <t>2/2.00</t>
  </si>
  <si>
    <t>Chardonnay Eastman</t>
  </si>
  <si>
    <t>201</t>
  </si>
  <si>
    <t>3/2.00</t>
  </si>
  <si>
    <t>Lauren M. Lineaweaver</t>
  </si>
  <si>
    <t>202</t>
  </si>
  <si>
    <t>Michael Conrad</t>
  </si>
  <si>
    <t>203</t>
  </si>
  <si>
    <t>1/1.00</t>
  </si>
  <si>
    <t>Steven Edwards</t>
  </si>
  <si>
    <t>204</t>
  </si>
  <si>
    <t>James Nash</t>
  </si>
  <si>
    <t>205</t>
  </si>
  <si>
    <t>lynette Bruton</t>
  </si>
  <si>
    <t>206</t>
  </si>
  <si>
    <t>Diane Wigder</t>
  </si>
  <si>
    <t>207</t>
  </si>
  <si>
    <t>Jazmin Calhoun</t>
  </si>
  <si>
    <t>208 S2</t>
  </si>
  <si>
    <t>--/1.00</t>
  </si>
  <si>
    <t>Ciara M. Knox</t>
  </si>
  <si>
    <t>209 S2</t>
  </si>
  <si>
    <t>Dangelo A. Moreira</t>
  </si>
  <si>
    <t>210 S2</t>
  </si>
  <si>
    <t>Mark Whitman</t>
  </si>
  <si>
    <t>211 S2</t>
  </si>
  <si>
    <t>Adia D. Davis</t>
  </si>
  <si>
    <t>212 S1</t>
  </si>
  <si>
    <t>Francisco Baca</t>
  </si>
  <si>
    <t>Vacant-Unrented</t>
  </si>
  <si>
    <t>213 S1</t>
  </si>
  <si>
    <t>214</t>
  </si>
  <si>
    <t>Sterling N. Bordeaux</t>
  </si>
  <si>
    <t>215</t>
  </si>
  <si>
    <t>Janelle Corbett</t>
  </si>
  <si>
    <t>216 S1</t>
  </si>
  <si>
    <t>Lindsey Bull</t>
  </si>
  <si>
    <t>218 S2</t>
  </si>
  <si>
    <t>Christen McCloud</t>
  </si>
  <si>
    <t>219 S2</t>
  </si>
  <si>
    <t>Amir Stewart</t>
  </si>
  <si>
    <t>220 S2</t>
  </si>
  <si>
    <t>Jeremy J. Brown</t>
  </si>
  <si>
    <t>221 S2</t>
  </si>
  <si>
    <t>Allison Tilley</t>
  </si>
  <si>
    <t>222</t>
  </si>
  <si>
    <t>Evan Miller</t>
  </si>
  <si>
    <t>223</t>
  </si>
  <si>
    <t>224</t>
  </si>
  <si>
    <t>George Walbert</t>
  </si>
  <si>
    <t>225</t>
  </si>
  <si>
    <t>Jonathan R. Baltzell</t>
  </si>
  <si>
    <t>226</t>
  </si>
  <si>
    <t>Betty S. Ikard</t>
  </si>
  <si>
    <t>227</t>
  </si>
  <si>
    <t>John Kerhoulas</t>
  </si>
  <si>
    <t>228</t>
  </si>
  <si>
    <t>229</t>
  </si>
  <si>
    <t>Mark Halteman</t>
  </si>
  <si>
    <t>300</t>
  </si>
  <si>
    <t>Diana Streevey</t>
  </si>
  <si>
    <t>301</t>
  </si>
  <si>
    <t>Antoinette Brown</t>
  </si>
  <si>
    <t>302</t>
  </si>
  <si>
    <t>Jim Bullard</t>
  </si>
  <si>
    <t>303</t>
  </si>
  <si>
    <t>Sheila E. Hatfield</t>
  </si>
  <si>
    <t>304</t>
  </si>
  <si>
    <t>Morgan Demers</t>
  </si>
  <si>
    <t>305</t>
  </si>
  <si>
    <t>Olivia Moase</t>
  </si>
  <si>
    <t>306</t>
  </si>
  <si>
    <t>Carlo Sartelli</t>
  </si>
  <si>
    <t>307</t>
  </si>
  <si>
    <t>Graddie Lane</t>
  </si>
  <si>
    <t>308 S2</t>
  </si>
  <si>
    <t>Jeff Cason</t>
  </si>
  <si>
    <t>309 S2</t>
  </si>
  <si>
    <t>Stephen Schade</t>
  </si>
  <si>
    <t>310 S2</t>
  </si>
  <si>
    <t>311 S2</t>
  </si>
  <si>
    <t>Adam Berberich</t>
  </si>
  <si>
    <t>312 S1</t>
  </si>
  <si>
    <t>David N. Braziel</t>
  </si>
  <si>
    <t>313 S1</t>
  </si>
  <si>
    <t>James Holliman</t>
  </si>
  <si>
    <t>314</t>
  </si>
  <si>
    <t>John Lambert</t>
  </si>
  <si>
    <t>315</t>
  </si>
  <si>
    <t>Stephen Seifert</t>
  </si>
  <si>
    <t>316 S1</t>
  </si>
  <si>
    <t>317 S1</t>
  </si>
  <si>
    <t>Jordan Johnson</t>
  </si>
  <si>
    <t>318 S2</t>
  </si>
  <si>
    <t>Patrick Irwin</t>
  </si>
  <si>
    <t>319 S2</t>
  </si>
  <si>
    <t>320 S2</t>
  </si>
  <si>
    <t>Mable Marcus</t>
  </si>
  <si>
    <t>321 S2</t>
  </si>
  <si>
    <t>Alejandra Ponce</t>
  </si>
  <si>
    <t>322</t>
  </si>
  <si>
    <t>Peyton Randolph</t>
  </si>
  <si>
    <t>323</t>
  </si>
  <si>
    <t>Damara Martin</t>
  </si>
  <si>
    <t>324</t>
  </si>
  <si>
    <t>Daniel Traylor</t>
  </si>
  <si>
    <t>325</t>
  </si>
  <si>
    <t>Marilyn Sullivan</t>
  </si>
  <si>
    <t>326</t>
  </si>
  <si>
    <t>327</t>
  </si>
  <si>
    <t>Amanda Myers</t>
  </si>
  <si>
    <t>328</t>
  </si>
  <si>
    <t>329</t>
  </si>
  <si>
    <t>Joanna Smith</t>
  </si>
  <si>
    <t>400</t>
  </si>
  <si>
    <t>401</t>
  </si>
  <si>
    <t>Denzel Dillingham</t>
  </si>
  <si>
    <t>402</t>
  </si>
  <si>
    <t>Melanie Crabtree</t>
  </si>
  <si>
    <t>403</t>
  </si>
  <si>
    <t>404</t>
  </si>
  <si>
    <t>405</t>
  </si>
  <si>
    <t>Brian Mazzucco</t>
  </si>
  <si>
    <t>406</t>
  </si>
  <si>
    <t>407</t>
  </si>
  <si>
    <t>Lisa Miranda</t>
  </si>
  <si>
    <t>408 S2</t>
  </si>
  <si>
    <t>Samuel J. Kern</t>
  </si>
  <si>
    <t>409 S2</t>
  </si>
  <si>
    <t>Ankitha M. Patel</t>
  </si>
  <si>
    <t>410 S2</t>
  </si>
  <si>
    <t>411 S2</t>
  </si>
  <si>
    <t>Zedina Martin</t>
  </si>
  <si>
    <t>412 S1</t>
  </si>
  <si>
    <t>Eric N. Koelbl</t>
  </si>
  <si>
    <t>413 S1</t>
  </si>
  <si>
    <t>Mike Gomez</t>
  </si>
  <si>
    <t>414</t>
  </si>
  <si>
    <t>Sage K. Alexander</t>
  </si>
  <si>
    <t>415</t>
  </si>
  <si>
    <t>Windy Mcnall</t>
  </si>
  <si>
    <t>416</t>
  </si>
  <si>
    <t>0/1.00</t>
  </si>
  <si>
    <t>417</t>
  </si>
  <si>
    <t>418</t>
  </si>
  <si>
    <t>419</t>
  </si>
  <si>
    <t>DeBranda Scurry</t>
  </si>
  <si>
    <t>420</t>
  </si>
  <si>
    <t>Karen Platt</t>
  </si>
  <si>
    <t>421 S2</t>
  </si>
  <si>
    <t>422</t>
  </si>
  <si>
    <t>423</t>
  </si>
  <si>
    <t>Garret Bankston</t>
  </si>
  <si>
    <t>424</t>
  </si>
  <si>
    <t>425</t>
  </si>
  <si>
    <t>Debbie Love-Seay</t>
  </si>
  <si>
    <t>426</t>
  </si>
  <si>
    <t>427</t>
  </si>
  <si>
    <t>Belinda Lowery</t>
  </si>
  <si>
    <t>428</t>
  </si>
  <si>
    <t>429</t>
  </si>
  <si>
    <t>See Thao</t>
  </si>
  <si>
    <t>David Kay</t>
  </si>
  <si>
    <t>Andrew Hoehn</t>
  </si>
  <si>
    <t>Addison R. Moore</t>
  </si>
  <si>
    <t>Vacant- Unrented</t>
  </si>
  <si>
    <t>217 S1</t>
  </si>
  <si>
    <t>Vacant -Unrented</t>
  </si>
  <si>
    <t>Taeondra Brown</t>
  </si>
  <si>
    <t xml:space="preserve">Lorena Padilla </t>
  </si>
  <si>
    <t>Brenda Vang</t>
  </si>
  <si>
    <t>Rachel Koecher</t>
  </si>
  <si>
    <t>Taunya Feyen</t>
  </si>
  <si>
    <t>Raven Miller</t>
  </si>
  <si>
    <t>Erin McFarland</t>
  </si>
  <si>
    <t>Rachel Burke</t>
  </si>
  <si>
    <t>Curent</t>
  </si>
  <si>
    <t>Kaeyleb Ishmell</t>
  </si>
  <si>
    <t>Notice-Unrented</t>
  </si>
  <si>
    <t>Paul Adams</t>
  </si>
  <si>
    <t>Catherine Davidson</t>
  </si>
  <si>
    <t>Joseph Uva</t>
  </si>
  <si>
    <t>Mary Grime</t>
  </si>
  <si>
    <t>Leo Hoffer</t>
  </si>
  <si>
    <t xml:space="preserve">Current </t>
  </si>
  <si>
    <t>Donna Baker</t>
  </si>
  <si>
    <t>Total 95.1% Occupied</t>
  </si>
  <si>
    <t>102 Units</t>
  </si>
  <si>
    <t>95.1% Economic Occupancy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</si>
</sst>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&quot;-&quot;#,##0.00"/>
    <numFmt numFmtId="165" formatCode="mm/dd/yyyy"/>
    <numFmt numFmtId="166" formatCode="#,##0;&quot;-&quot;#,##0"/>
  </numFmts>
  <fonts count="14" x14ac:knownFonts="1">
    <font>
      <sz val="11"/>
      <color indexed="8"/>
      <name val="Arial"/>
    </font>
    <font>
      <b/>
      <sz val="18"/>
      <color indexed="9"/>
      <name val="Arial"/>
      <family val="2"/>
    </font>
    <font>
      <sz val="9"/>
      <color indexed="9"/>
      <name val="Arial"/>
      <family val="2"/>
    </font>
    <font>
      <sz val="13"/>
      <color indexed="9"/>
      <name val="Arial"/>
      <family val="2"/>
    </font>
    <font>
      <b/>
      <sz val="10"/>
      <color indexed="8"/>
      <name val="Verdana"/>
      <family val="2"/>
    </font>
    <font>
      <sz val="10"/>
      <color indexed="8"/>
      <name val="Verdana"/>
      <family val="2"/>
    </font>
    <font>
      <b/>
      <sz val="13"/>
      <color indexed="9"/>
      <name val="Arial"/>
      <family val="2"/>
    </font>
    <font>
      <sz val="12"/>
      <color indexed="9"/>
      <name val="Arial"/>
      <family val="2"/>
    </font>
    <font>
      <b/>
      <sz val="12"/>
      <color indexed="9"/>
      <name val="Arial"/>
      <family val="2"/>
    </font>
    <font>
      <b/>
      <sz val="9"/>
      <color indexed="9"/>
      <name val="Arial"/>
      <family val="2"/>
    </font>
    <font>
      <sz val="12"/>
      <color indexed="9"/>
      <name val="Arial"/>
      <family val="2"/>
    </font>
    <font>
      <u/>
      <sz val="11"/>
      <color theme="10"/>
      <name val="Arial"/>
      <family val="2"/>
    </font>
    <font>
      <u/>
      <sz val="11"/>
      <color theme="1"/>
      <name val="Arial"/>
      <family val="2"/>
    </font>
    <font>
      <u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</fills>
  <borders count="15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/>
      <bottom style="thin">
        <color indexed="13"/>
      </bottom>
      <diagonal/>
    </border>
    <border>
      <left/>
      <right/>
      <top/>
      <bottom style="thin">
        <color indexed="13"/>
      </bottom>
      <diagonal/>
    </border>
    <border>
      <left/>
      <right style="thin">
        <color indexed="11"/>
      </right>
      <top/>
      <bottom style="thin">
        <color indexed="13"/>
      </bottom>
      <diagonal/>
    </border>
    <border>
      <left style="thin">
        <color indexed="11"/>
      </left>
      <right/>
      <top style="thin">
        <color indexed="13"/>
      </top>
      <bottom style="thin">
        <color indexed="13"/>
      </bottom>
      <diagonal/>
    </border>
    <border>
      <left/>
      <right/>
      <top style="thin">
        <color indexed="13"/>
      </top>
      <bottom style="thin">
        <color indexed="13"/>
      </bottom>
      <diagonal/>
    </border>
    <border>
      <left/>
      <right style="thin">
        <color indexed="11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2">
    <xf numFmtId="0" fontId="0" fillId="0" borderId="0" applyNumberFormat="0" applyFill="0" applyBorder="0" applyProtection="0"/>
    <xf numFmtId="0" fontId="11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0" xfId="0" applyNumberFormat="1"/>
    <xf numFmtId="49" fontId="7" fillId="0" borderId="13" xfId="0" applyNumberFormat="1" applyFont="1" applyFill="1" applyBorder="1"/>
    <xf numFmtId="164" fontId="7" fillId="0" borderId="13" xfId="0" applyNumberFormat="1" applyFont="1" applyFill="1" applyBorder="1"/>
    <xf numFmtId="165" fontId="7" fillId="0" borderId="13" xfId="0" applyNumberFormat="1" applyFont="1" applyFill="1" applyBorder="1"/>
    <xf numFmtId="166" fontId="7" fillId="0" borderId="13" xfId="0" applyNumberFormat="1" applyFont="1" applyFill="1" applyBorder="1"/>
    <xf numFmtId="0" fontId="0" fillId="0" borderId="0" xfId="0" applyNumberFormat="1" applyFill="1"/>
    <xf numFmtId="49" fontId="7" fillId="0" borderId="14" xfId="0" applyNumberFormat="1" applyFont="1" applyFill="1" applyBorder="1"/>
    <xf numFmtId="164" fontId="7" fillId="0" borderId="14" xfId="0" applyNumberFormat="1" applyFont="1" applyFill="1" applyBorder="1"/>
    <xf numFmtId="165" fontId="7" fillId="0" borderId="14" xfId="0" applyNumberFormat="1" applyFont="1" applyFill="1" applyBorder="1"/>
    <xf numFmtId="166" fontId="7" fillId="0" borderId="14" xfId="0" applyNumberFormat="1" applyFont="1" applyFill="1" applyBorder="1"/>
    <xf numFmtId="49" fontId="6" fillId="0" borderId="10" xfId="0" applyNumberFormat="1" applyFont="1" applyFill="1" applyBorder="1" applyAlignment="1">
      <alignment horizontal="left"/>
    </xf>
    <xf numFmtId="49" fontId="6" fillId="0" borderId="11" xfId="0" applyNumberFormat="1" applyFont="1" applyFill="1" applyBorder="1" applyAlignment="1">
      <alignment horizontal="left"/>
    </xf>
    <xf numFmtId="49" fontId="6" fillId="0" borderId="12" xfId="0" applyNumberFormat="1" applyFont="1" applyFill="1" applyBorder="1" applyAlignment="1">
      <alignment horizontal="left"/>
    </xf>
    <xf numFmtId="49" fontId="10" fillId="0" borderId="14" xfId="0" applyNumberFormat="1" applyFont="1" applyFill="1" applyBorder="1"/>
    <xf numFmtId="0" fontId="7" fillId="0" borderId="14" xfId="0" applyFont="1" applyFill="1" applyBorder="1"/>
    <xf numFmtId="0" fontId="10" fillId="0" borderId="14" xfId="0" applyFont="1" applyFill="1" applyBorder="1"/>
    <xf numFmtId="0" fontId="12" fillId="0" borderId="0" xfId="1" applyFont="1" applyFill="1"/>
    <xf numFmtId="0" fontId="13" fillId="0" borderId="0" xfId="1" applyFont="1" applyFill="1"/>
    <xf numFmtId="0" fontId="0" fillId="0" borderId="14" xfId="0" applyFill="1" applyBorder="1"/>
    <xf numFmtId="49" fontId="8" fillId="0" borderId="14" xfId="0" applyNumberFormat="1" applyFont="1" applyFill="1" applyBorder="1"/>
    <xf numFmtId="164" fontId="8" fillId="0" borderId="14" xfId="0" applyNumberFormat="1" applyFont="1" applyFill="1" applyBorder="1"/>
    <xf numFmtId="165" fontId="8" fillId="0" borderId="14" xfId="0" applyNumberFormat="1" applyFont="1" applyFill="1" applyBorder="1"/>
    <xf numFmtId="0" fontId="8" fillId="0" borderId="14" xfId="0" applyFont="1" applyFill="1" applyBorder="1"/>
    <xf numFmtId="166" fontId="8" fillId="0" borderId="14" xfId="0" applyNumberFormat="1" applyFont="1" applyFill="1" applyBorder="1"/>
    <xf numFmtId="49" fontId="9" fillId="0" borderId="14" xfId="0" applyNumberFormat="1" applyFont="1" applyFill="1" applyBorder="1"/>
    <xf numFmtId="49" fontId="3" fillId="2" borderId="4" xfId="0" applyNumberFormat="1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0" fillId="3" borderId="5" xfId="0" applyFill="1" applyBorder="1"/>
    <xf numFmtId="0" fontId="3" fillId="2" borderId="6" xfId="0" applyFont="1" applyFill="1" applyBorder="1" applyAlignment="1">
      <alignment horizontal="left" vertical="top" wrapText="1"/>
    </xf>
    <xf numFmtId="49" fontId="4" fillId="2" borderId="4" xfId="0" applyNumberFormat="1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0" fillId="3" borderId="8" xfId="0" applyFill="1" applyBorder="1"/>
    <xf numFmtId="0" fontId="2" fillId="2" borderId="9" xfId="0" applyFont="1" applyFill="1" applyBorder="1" applyAlignment="1">
      <alignment horizontal="left" vertical="top" wrapText="1"/>
    </xf>
    <xf numFmtId="49" fontId="1" fillId="2" borderId="1" xfId="0" applyNumberFormat="1" applyFont="1" applyFill="1" applyBorder="1"/>
    <xf numFmtId="0" fontId="1" fillId="2" borderId="2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49" fontId="2" fillId="2" borderId="4" xfId="0" applyNumberFormat="1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03030"/>
      <rgbColor rgb="FFECF3F9"/>
      <rgbColor rgb="FFAAAAAA"/>
      <rgbColor rgb="FFFFFFFF"/>
      <rgbColor rgb="FFD3D3D3"/>
      <rgbColor rgb="FFF2F2F2"/>
      <rgbColor rgb="FFFF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mrealty.appfolio.com/rental_applications/72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5"/>
  <sheetViews>
    <sheetView showGridLines="0" tabSelected="1" topLeftCell="B1" zoomScale="138" zoomScaleNormal="170" workbookViewId="0">
      <selection activeCell="I10" sqref="I10"/>
    </sheetView>
  </sheetViews>
  <sheetFormatPr baseColWidth="10" defaultColWidth="8.83203125" defaultRowHeight="18" customHeight="1" x14ac:dyDescent="0.15"/>
  <cols>
    <col min="1" max="1" width="21.33203125" style="1" customWidth="1"/>
    <col min="2" max="2" width="21.6640625" style="1" customWidth="1"/>
    <col min="3" max="3" width="21.5" style="1" customWidth="1"/>
    <col min="4" max="4" width="21.6640625" style="1" customWidth="1"/>
    <col min="5" max="5" width="15.6640625" style="1" customWidth="1"/>
    <col min="6" max="6" width="39.6640625" style="1" customWidth="1"/>
    <col min="7" max="7" width="14.5" style="1" customWidth="1"/>
    <col min="8" max="8" width="27.33203125" style="1" customWidth="1"/>
    <col min="9" max="9" width="33.1640625" style="1" customWidth="1"/>
    <col min="10" max="10" width="27.33203125" style="1" customWidth="1"/>
    <col min="11" max="12" width="41" style="1" customWidth="1"/>
    <col min="13" max="13" width="37" style="1" customWidth="1"/>
    <col min="14" max="14" width="29.33203125" style="1" customWidth="1"/>
    <col min="15" max="15" width="37" style="1" customWidth="1"/>
    <col min="16" max="16" width="29.33203125" style="1" customWidth="1"/>
    <col min="17" max="17" width="19.83203125" style="1" customWidth="1"/>
    <col min="18" max="18" width="50.6640625" style="1" customWidth="1"/>
    <col min="19" max="19" width="19.5" style="1" customWidth="1"/>
    <col min="20" max="20" width="8.83203125" style="1" customWidth="1"/>
    <col min="21" max="16384" width="8.83203125" style="1"/>
  </cols>
  <sheetData>
    <row r="1" spans="1:19" ht="23.5" customHeight="1" x14ac:dyDescent="0.25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7"/>
      <c r="Q1" s="36"/>
      <c r="R1" s="36"/>
      <c r="S1" s="38"/>
    </row>
    <row r="2" spans="1:19" ht="14" customHeight="1" x14ac:dyDescent="0.15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28"/>
      <c r="Q2" s="40"/>
      <c r="R2" s="40"/>
      <c r="S2" s="41"/>
    </row>
    <row r="3" spans="1:19" ht="12.75" customHeight="1" x14ac:dyDescent="0.15">
      <c r="A3" s="42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28"/>
      <c r="Q3" s="40"/>
      <c r="R3" s="40"/>
      <c r="S3" s="41"/>
    </row>
    <row r="4" spans="1:19" ht="17.5" customHeight="1" x14ac:dyDescent="0.15">
      <c r="A4" s="26" t="s">
        <v>1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8"/>
      <c r="Q4" s="27"/>
      <c r="R4" s="27"/>
      <c r="S4" s="29"/>
    </row>
    <row r="5" spans="1:19" ht="17.5" customHeight="1" x14ac:dyDescent="0.15">
      <c r="A5" s="26" t="s">
        <v>2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8"/>
      <c r="Q5" s="27"/>
      <c r="R5" s="27"/>
      <c r="S5" s="29"/>
    </row>
    <row r="6" spans="1:19" ht="17.5" customHeight="1" x14ac:dyDescent="0.15">
      <c r="A6" s="26" t="s">
        <v>3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8"/>
      <c r="Q6" s="27"/>
      <c r="R6" s="27"/>
      <c r="S6" s="29"/>
    </row>
    <row r="7" spans="1:19" ht="17.5" customHeight="1" x14ac:dyDescent="0.15">
      <c r="A7" s="30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8"/>
      <c r="Q7" s="27"/>
      <c r="R7" s="27"/>
      <c r="S7" s="29"/>
    </row>
    <row r="8" spans="1:19" ht="12.75" customHeight="1" x14ac:dyDescent="0.15">
      <c r="A8" s="31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3"/>
      <c r="Q8" s="32"/>
      <c r="R8" s="32"/>
      <c r="S8" s="34"/>
    </row>
    <row r="9" spans="1:19" s="6" customFormat="1" ht="17.5" customHeight="1" x14ac:dyDescent="0.2">
      <c r="A9" s="11" t="s">
        <v>4</v>
      </c>
      <c r="B9" s="12" t="s">
        <v>5</v>
      </c>
      <c r="C9" s="12" t="s">
        <v>6</v>
      </c>
      <c r="D9" s="12" t="s">
        <v>7</v>
      </c>
      <c r="E9" s="12" t="s">
        <v>8</v>
      </c>
      <c r="F9" s="12" t="s">
        <v>9</v>
      </c>
      <c r="G9" s="12" t="s">
        <v>10</v>
      </c>
      <c r="H9" s="12" t="s">
        <v>11</v>
      </c>
      <c r="I9" s="12" t="s">
        <v>12</v>
      </c>
      <c r="J9" s="12" t="s">
        <v>13</v>
      </c>
      <c r="K9" s="12" t="s">
        <v>14</v>
      </c>
      <c r="L9" s="12" t="s">
        <v>15</v>
      </c>
      <c r="M9" s="12" t="s">
        <v>16</v>
      </c>
      <c r="N9" s="12" t="s">
        <v>17</v>
      </c>
      <c r="O9" s="12" t="s">
        <v>18</v>
      </c>
      <c r="P9" s="12" t="s">
        <v>19</v>
      </c>
      <c r="Q9" s="12" t="s">
        <v>20</v>
      </c>
      <c r="R9" s="12" t="s">
        <v>21</v>
      </c>
      <c r="S9" s="13" t="s">
        <v>22</v>
      </c>
    </row>
    <row r="10" spans="1:19" s="6" customFormat="1" ht="16.75" customHeight="1" x14ac:dyDescent="0.2">
      <c r="A10" s="2" t="s">
        <v>23</v>
      </c>
      <c r="B10" s="3">
        <v>4543.3999999999996</v>
      </c>
      <c r="C10" s="4">
        <v>49127</v>
      </c>
      <c r="D10" s="2" t="s">
        <v>24</v>
      </c>
      <c r="E10" s="2" t="s">
        <v>25</v>
      </c>
      <c r="F10" s="2" t="s">
        <v>26</v>
      </c>
      <c r="G10" s="5"/>
      <c r="H10" s="3">
        <v>3875.5</v>
      </c>
      <c r="I10" s="3"/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/>
      <c r="Q10" s="3">
        <v>0</v>
      </c>
      <c r="R10" s="4"/>
      <c r="S10" s="4">
        <v>45294</v>
      </c>
    </row>
    <row r="11" spans="1:19" s="6" customFormat="1" ht="16.75" customHeight="1" x14ac:dyDescent="0.2">
      <c r="A11" s="7" t="s">
        <v>23</v>
      </c>
      <c r="B11" s="8">
        <v>2795.75</v>
      </c>
      <c r="C11" s="9">
        <v>49125</v>
      </c>
      <c r="D11" s="7" t="s">
        <v>27</v>
      </c>
      <c r="E11" s="7" t="s">
        <v>25</v>
      </c>
      <c r="F11" s="7" t="s">
        <v>28</v>
      </c>
      <c r="G11" s="10"/>
      <c r="H11" s="8">
        <v>5104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/>
      <c r="Q11" s="8">
        <v>0</v>
      </c>
      <c r="R11" s="9"/>
      <c r="S11" s="9">
        <v>45474</v>
      </c>
    </row>
    <row r="12" spans="1:19" s="6" customFormat="1" ht="16.75" customHeight="1" x14ac:dyDescent="0.2">
      <c r="A12" s="7" t="s">
        <v>23</v>
      </c>
      <c r="B12" s="8">
        <v>2000</v>
      </c>
      <c r="C12" s="9">
        <v>45900</v>
      </c>
      <c r="D12" s="7" t="s">
        <v>30</v>
      </c>
      <c r="E12" s="7" t="s">
        <v>25</v>
      </c>
      <c r="F12" s="7" t="s">
        <v>31</v>
      </c>
      <c r="G12" s="10"/>
      <c r="H12" s="8">
        <v>1850</v>
      </c>
      <c r="I12" s="8"/>
      <c r="J12" s="8"/>
      <c r="K12" s="8"/>
      <c r="L12" s="8"/>
      <c r="M12" s="8"/>
      <c r="N12" s="8"/>
      <c r="O12" s="8"/>
      <c r="P12" s="8">
        <v>150</v>
      </c>
      <c r="Q12" s="8">
        <v>1850</v>
      </c>
      <c r="R12" s="9"/>
      <c r="S12" s="9"/>
    </row>
    <row r="13" spans="1:19" s="6" customFormat="1" ht="16.75" customHeight="1" x14ac:dyDescent="0.2">
      <c r="A13" s="7" t="s">
        <v>23</v>
      </c>
      <c r="B13" s="8">
        <v>13604.56</v>
      </c>
      <c r="C13" s="9">
        <v>48427</v>
      </c>
      <c r="D13" s="7" t="s">
        <v>32</v>
      </c>
      <c r="E13" s="7" t="s">
        <v>25</v>
      </c>
      <c r="F13" s="7" t="s">
        <v>33</v>
      </c>
      <c r="G13" s="10"/>
      <c r="H13" s="8">
        <v>11147.18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/>
      <c r="Q13" s="8">
        <v>0</v>
      </c>
      <c r="R13" s="9"/>
      <c r="S13" s="9">
        <v>45183</v>
      </c>
    </row>
    <row r="14" spans="1:19" s="6" customFormat="1" ht="16.75" customHeight="1" x14ac:dyDescent="0.2">
      <c r="A14" s="7" t="s">
        <v>23</v>
      </c>
      <c r="B14" s="8">
        <v>11275.87</v>
      </c>
      <c r="C14" s="9">
        <v>47087</v>
      </c>
      <c r="D14" s="7" t="s">
        <v>34</v>
      </c>
      <c r="E14" s="7" t="s">
        <v>25</v>
      </c>
      <c r="F14" s="7" t="s">
        <v>35</v>
      </c>
      <c r="G14" s="10"/>
      <c r="H14" s="8">
        <v>9463.5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/>
      <c r="Q14" s="8">
        <v>0</v>
      </c>
      <c r="R14" s="9"/>
      <c r="S14" s="9">
        <v>45237</v>
      </c>
    </row>
    <row r="15" spans="1:19" s="6" customFormat="1" ht="16.75" customHeight="1" x14ac:dyDescent="0.2">
      <c r="A15" s="7" t="s">
        <v>23</v>
      </c>
      <c r="B15" s="8">
        <v>11051.91</v>
      </c>
      <c r="C15" s="9">
        <v>48395</v>
      </c>
      <c r="D15" s="7" t="s">
        <v>36</v>
      </c>
      <c r="E15" s="7" t="s">
        <v>25</v>
      </c>
      <c r="F15" s="7" t="s">
        <v>37</v>
      </c>
      <c r="G15" s="10"/>
      <c r="H15" s="8">
        <v>9361.91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/>
      <c r="Q15" s="8">
        <v>0</v>
      </c>
      <c r="R15" s="9">
        <v>45474</v>
      </c>
      <c r="S15" s="9">
        <v>45183</v>
      </c>
    </row>
    <row r="16" spans="1:19" s="6" customFormat="1" ht="16.75" customHeight="1" x14ac:dyDescent="0.2">
      <c r="A16" s="7" t="s">
        <v>23</v>
      </c>
      <c r="B16" s="8">
        <v>2935.09</v>
      </c>
      <c r="C16" s="9">
        <v>46845</v>
      </c>
      <c r="D16" s="7" t="s">
        <v>38</v>
      </c>
      <c r="E16" s="7" t="s">
        <v>25</v>
      </c>
      <c r="F16" s="7" t="s">
        <v>39</v>
      </c>
      <c r="G16" s="10"/>
      <c r="H16" s="8">
        <v>2533.4899999999998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/>
      <c r="Q16" s="8">
        <v>0</v>
      </c>
      <c r="R16" s="9">
        <v>45444</v>
      </c>
      <c r="S16" s="9">
        <v>45020</v>
      </c>
    </row>
    <row r="17" spans="1:19" s="6" customFormat="1" ht="16.75" customHeight="1" x14ac:dyDescent="0.2">
      <c r="A17" s="7" t="s">
        <v>23</v>
      </c>
      <c r="B17" s="8">
        <v>10239.5</v>
      </c>
      <c r="C17" s="9">
        <v>45571</v>
      </c>
      <c r="D17" s="7" t="s">
        <v>40</v>
      </c>
      <c r="E17" s="7" t="s">
        <v>25</v>
      </c>
      <c r="F17" s="7" t="s">
        <v>41</v>
      </c>
      <c r="G17" s="10"/>
      <c r="H17" s="8">
        <v>10239.5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/>
      <c r="Q17" s="8">
        <v>0</v>
      </c>
      <c r="R17" s="9"/>
      <c r="S17" s="9">
        <v>45183</v>
      </c>
    </row>
    <row r="18" spans="1:19" s="6" customFormat="1" ht="16.75" customHeight="1" x14ac:dyDescent="0.2">
      <c r="A18" s="7" t="s">
        <v>23</v>
      </c>
      <c r="B18" s="8">
        <v>6007.82</v>
      </c>
      <c r="C18" s="9">
        <v>48395</v>
      </c>
      <c r="D18" s="7" t="s">
        <v>42</v>
      </c>
      <c r="E18" s="7" t="s">
        <v>25</v>
      </c>
      <c r="F18" s="7" t="s">
        <v>43</v>
      </c>
      <c r="G18" s="10"/>
      <c r="H18" s="8">
        <v>5089.1400000000003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/>
      <c r="Q18" s="8">
        <v>0</v>
      </c>
      <c r="R18" s="9">
        <v>45474</v>
      </c>
      <c r="S18" s="9">
        <v>45183</v>
      </c>
    </row>
    <row r="19" spans="1:19" s="6" customFormat="1" ht="16.75" customHeight="1" x14ac:dyDescent="0.2">
      <c r="A19" s="7" t="s">
        <v>23</v>
      </c>
      <c r="B19" s="8">
        <v>7008.43</v>
      </c>
      <c r="C19" s="9">
        <v>46873</v>
      </c>
      <c r="D19" s="7" t="s">
        <v>44</v>
      </c>
      <c r="E19" s="7" t="s">
        <v>25</v>
      </c>
      <c r="F19" s="7" t="s">
        <v>45</v>
      </c>
      <c r="G19" s="10"/>
      <c r="H19" s="8">
        <v>5909.63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/>
      <c r="Q19" s="8">
        <v>0</v>
      </c>
      <c r="R19" s="9"/>
      <c r="S19" s="9">
        <v>45006</v>
      </c>
    </row>
    <row r="20" spans="1:19" s="6" customFormat="1" ht="16.75" customHeight="1" x14ac:dyDescent="0.2">
      <c r="A20" s="7" t="s">
        <v>23</v>
      </c>
      <c r="B20" s="8">
        <v>6466.23</v>
      </c>
      <c r="C20" s="9">
        <v>45353</v>
      </c>
      <c r="D20" s="7" t="s">
        <v>46</v>
      </c>
      <c r="E20" s="7" t="s">
        <v>25</v>
      </c>
      <c r="F20" s="7" t="s">
        <v>47</v>
      </c>
      <c r="G20" s="10"/>
      <c r="H20" s="8">
        <v>5415.69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/>
      <c r="Q20" s="8">
        <v>0</v>
      </c>
      <c r="R20" s="9"/>
      <c r="S20" s="9">
        <v>44988</v>
      </c>
    </row>
    <row r="21" spans="1:19" s="6" customFormat="1" ht="16.75" customHeight="1" x14ac:dyDescent="0.2">
      <c r="A21" s="7" t="s">
        <v>23</v>
      </c>
      <c r="B21" s="8">
        <v>10670.8</v>
      </c>
      <c r="C21" s="9">
        <v>48883</v>
      </c>
      <c r="D21" s="7" t="s">
        <v>48</v>
      </c>
      <c r="E21" s="7" t="s">
        <v>25</v>
      </c>
      <c r="F21" s="7" t="s">
        <v>49</v>
      </c>
      <c r="G21" s="10"/>
      <c r="H21" s="8">
        <v>8992.42</v>
      </c>
      <c r="I21" s="8">
        <v>0</v>
      </c>
      <c r="J21" s="8">
        <v>0</v>
      </c>
      <c r="K21" s="8">
        <v>0</v>
      </c>
      <c r="L21" s="8">
        <v>75</v>
      </c>
      <c r="M21" s="8">
        <v>0</v>
      </c>
      <c r="N21" s="8">
        <v>0</v>
      </c>
      <c r="O21" s="8">
        <v>0</v>
      </c>
      <c r="P21" s="8"/>
      <c r="Q21" s="8">
        <v>0</v>
      </c>
      <c r="R21" s="9"/>
      <c r="S21" s="9">
        <v>45231</v>
      </c>
    </row>
    <row r="22" spans="1:19" s="6" customFormat="1" ht="16.75" customHeight="1" x14ac:dyDescent="0.2">
      <c r="A22" s="7" t="s">
        <v>23</v>
      </c>
      <c r="B22" s="8">
        <v>1825</v>
      </c>
      <c r="C22" s="9">
        <v>45869</v>
      </c>
      <c r="D22" s="7" t="s">
        <v>50</v>
      </c>
      <c r="E22" s="7" t="s">
        <v>51</v>
      </c>
      <c r="F22" s="7" t="s">
        <v>52</v>
      </c>
      <c r="G22" s="10">
        <v>1165</v>
      </c>
      <c r="H22" s="8">
        <v>1705</v>
      </c>
      <c r="I22" s="8">
        <v>15</v>
      </c>
      <c r="J22" s="8">
        <v>20</v>
      </c>
      <c r="K22" s="8">
        <v>0</v>
      </c>
      <c r="L22" s="8">
        <v>75</v>
      </c>
      <c r="M22" s="8">
        <v>10</v>
      </c>
      <c r="N22" s="8">
        <v>0</v>
      </c>
      <c r="O22" s="8">
        <v>0</v>
      </c>
      <c r="P22" s="8"/>
      <c r="Q22" s="8">
        <v>100</v>
      </c>
      <c r="R22" s="9"/>
      <c r="S22" s="9">
        <v>45150</v>
      </c>
    </row>
    <row r="23" spans="1:19" s="6" customFormat="1" ht="16.75" customHeight="1" x14ac:dyDescent="0.2">
      <c r="A23" s="7" t="s">
        <v>23</v>
      </c>
      <c r="B23" s="8">
        <v>1889</v>
      </c>
      <c r="C23" s="9">
        <v>45900</v>
      </c>
      <c r="D23" s="7" t="s">
        <v>53</v>
      </c>
      <c r="E23" s="7" t="s">
        <v>54</v>
      </c>
      <c r="F23" s="7" t="s">
        <v>55</v>
      </c>
      <c r="G23" s="10">
        <v>1447</v>
      </c>
      <c r="H23" s="8">
        <v>1819</v>
      </c>
      <c r="I23" s="8">
        <v>15</v>
      </c>
      <c r="J23" s="8">
        <v>20</v>
      </c>
      <c r="K23" s="8">
        <v>25</v>
      </c>
      <c r="L23" s="8">
        <v>0</v>
      </c>
      <c r="M23" s="8">
        <v>10</v>
      </c>
      <c r="N23" s="8">
        <v>0</v>
      </c>
      <c r="O23" s="8">
        <v>0</v>
      </c>
      <c r="P23" s="8"/>
      <c r="Q23" s="8">
        <v>900</v>
      </c>
      <c r="R23" s="9"/>
      <c r="S23" s="9">
        <v>45520</v>
      </c>
    </row>
    <row r="24" spans="1:19" s="6" customFormat="1" ht="16.75" customHeight="1" x14ac:dyDescent="0.2">
      <c r="A24" s="7" t="s">
        <v>23</v>
      </c>
      <c r="B24" s="8">
        <v>2024</v>
      </c>
      <c r="C24" s="9">
        <v>45802</v>
      </c>
      <c r="D24" s="7" t="s">
        <v>56</v>
      </c>
      <c r="E24" s="7" t="s">
        <v>51</v>
      </c>
      <c r="F24" s="7" t="s">
        <v>57</v>
      </c>
      <c r="G24" s="10">
        <v>1140</v>
      </c>
      <c r="H24" s="8">
        <v>1820</v>
      </c>
      <c r="I24" s="8">
        <v>0</v>
      </c>
      <c r="J24" s="8">
        <v>20</v>
      </c>
      <c r="K24" s="8">
        <v>25</v>
      </c>
      <c r="L24" s="8">
        <v>150</v>
      </c>
      <c r="M24" s="8">
        <v>4</v>
      </c>
      <c r="N24" s="8">
        <v>5</v>
      </c>
      <c r="O24" s="8">
        <v>0</v>
      </c>
      <c r="P24" s="8"/>
      <c r="Q24" s="8">
        <v>100</v>
      </c>
      <c r="R24" s="9"/>
      <c r="S24" s="9">
        <v>45438</v>
      </c>
    </row>
    <row r="25" spans="1:19" s="6" customFormat="1" ht="16.75" customHeight="1" x14ac:dyDescent="0.2">
      <c r="A25" s="7" t="s">
        <v>23</v>
      </c>
      <c r="B25" s="8">
        <v>1750</v>
      </c>
      <c r="C25" s="9">
        <v>45599</v>
      </c>
      <c r="D25" s="7" t="s">
        <v>58</v>
      </c>
      <c r="E25" s="7" t="s">
        <v>59</v>
      </c>
      <c r="F25" s="7" t="s">
        <v>60</v>
      </c>
      <c r="G25" s="10">
        <v>917</v>
      </c>
      <c r="H25" s="8">
        <v>1600</v>
      </c>
      <c r="I25" s="8">
        <v>20</v>
      </c>
      <c r="J25" s="8">
        <v>20</v>
      </c>
      <c r="K25" s="8">
        <v>25</v>
      </c>
      <c r="L25" s="8">
        <v>75</v>
      </c>
      <c r="M25" s="8">
        <v>10</v>
      </c>
      <c r="N25" s="8">
        <v>0</v>
      </c>
      <c r="O25" s="8">
        <v>0</v>
      </c>
      <c r="P25" s="8"/>
      <c r="Q25" s="8">
        <v>875</v>
      </c>
      <c r="R25" s="9"/>
      <c r="S25" s="9">
        <v>44836</v>
      </c>
    </row>
    <row r="26" spans="1:19" s="6" customFormat="1" ht="16.75" customHeight="1" x14ac:dyDescent="0.2">
      <c r="A26" s="7" t="s">
        <v>23</v>
      </c>
      <c r="B26" s="8">
        <v>1700</v>
      </c>
      <c r="C26" s="9">
        <v>45599</v>
      </c>
      <c r="D26" s="7" t="s">
        <v>61</v>
      </c>
      <c r="E26" s="7" t="s">
        <v>59</v>
      </c>
      <c r="F26" s="7" t="s">
        <v>62</v>
      </c>
      <c r="G26" s="10">
        <v>816</v>
      </c>
      <c r="H26" s="8">
        <v>1550</v>
      </c>
      <c r="I26" s="8">
        <v>20</v>
      </c>
      <c r="J26" s="8">
        <v>20</v>
      </c>
      <c r="K26" s="8">
        <v>25</v>
      </c>
      <c r="L26" s="8">
        <v>75</v>
      </c>
      <c r="M26" s="8">
        <v>10</v>
      </c>
      <c r="N26" s="8">
        <v>0</v>
      </c>
      <c r="O26" s="8">
        <v>0</v>
      </c>
      <c r="P26" s="8"/>
      <c r="Q26" s="8">
        <v>100</v>
      </c>
      <c r="R26" s="9"/>
      <c r="S26" s="9">
        <v>45234</v>
      </c>
    </row>
    <row r="27" spans="1:19" s="6" customFormat="1" ht="16.75" customHeight="1" x14ac:dyDescent="0.2">
      <c r="A27" s="7" t="s">
        <v>23</v>
      </c>
      <c r="B27" s="8">
        <v>1501</v>
      </c>
      <c r="C27" s="9">
        <v>45739</v>
      </c>
      <c r="D27" s="7" t="s">
        <v>63</v>
      </c>
      <c r="E27" s="7" t="s">
        <v>59</v>
      </c>
      <c r="F27" s="7" t="s">
        <v>64</v>
      </c>
      <c r="G27" s="10">
        <v>816</v>
      </c>
      <c r="H27" s="8">
        <v>1422</v>
      </c>
      <c r="I27" s="8">
        <v>0</v>
      </c>
      <c r="J27" s="8">
        <v>20</v>
      </c>
      <c r="K27" s="8">
        <v>25</v>
      </c>
      <c r="L27" s="8">
        <v>0</v>
      </c>
      <c r="M27" s="8">
        <v>4</v>
      </c>
      <c r="N27" s="8">
        <v>5</v>
      </c>
      <c r="O27" s="8">
        <v>25</v>
      </c>
      <c r="P27" s="8"/>
      <c r="Q27" s="8">
        <v>100</v>
      </c>
      <c r="R27" s="9"/>
      <c r="S27" s="9">
        <v>44995</v>
      </c>
    </row>
    <row r="28" spans="1:19" s="6" customFormat="1" ht="16.75" customHeight="1" x14ac:dyDescent="0.2">
      <c r="A28" s="7" t="s">
        <v>23</v>
      </c>
      <c r="B28" s="8">
        <v>1850</v>
      </c>
      <c r="C28" s="9">
        <v>45634</v>
      </c>
      <c r="D28" s="7" t="s">
        <v>65</v>
      </c>
      <c r="E28" s="7" t="s">
        <v>51</v>
      </c>
      <c r="F28" s="7" t="s">
        <v>66</v>
      </c>
      <c r="G28" s="10">
        <v>1140</v>
      </c>
      <c r="H28" s="8">
        <v>1700</v>
      </c>
      <c r="I28" s="8">
        <v>20</v>
      </c>
      <c r="J28" s="8">
        <v>20</v>
      </c>
      <c r="K28" s="8">
        <v>25</v>
      </c>
      <c r="L28" s="8">
        <v>75</v>
      </c>
      <c r="M28" s="8">
        <v>10</v>
      </c>
      <c r="N28" s="8">
        <v>0</v>
      </c>
      <c r="O28" s="8">
        <v>0</v>
      </c>
      <c r="P28" s="8"/>
      <c r="Q28" s="8">
        <v>100</v>
      </c>
      <c r="R28" s="9"/>
      <c r="S28" s="9">
        <v>44489</v>
      </c>
    </row>
    <row r="29" spans="1:19" s="6" customFormat="1" ht="16.75" customHeight="1" x14ac:dyDescent="0.2">
      <c r="A29" s="14" t="s">
        <v>23</v>
      </c>
      <c r="B29" s="8">
        <v>1874</v>
      </c>
      <c r="C29" s="9">
        <v>45732</v>
      </c>
      <c r="D29" s="7" t="s">
        <v>67</v>
      </c>
      <c r="E29" s="7" t="s">
        <v>51</v>
      </c>
      <c r="F29" s="7" t="s">
        <v>68</v>
      </c>
      <c r="G29" s="10">
        <v>1140</v>
      </c>
      <c r="H29" s="8">
        <v>1770</v>
      </c>
      <c r="I29" s="8">
        <v>0</v>
      </c>
      <c r="J29" s="8">
        <v>20</v>
      </c>
      <c r="K29" s="8">
        <v>25</v>
      </c>
      <c r="L29" s="8">
        <v>0</v>
      </c>
      <c r="M29" s="8">
        <v>4</v>
      </c>
      <c r="N29" s="8">
        <v>5</v>
      </c>
      <c r="O29" s="8">
        <v>50</v>
      </c>
      <c r="P29" s="8"/>
      <c r="Q29" s="8">
        <v>100</v>
      </c>
      <c r="R29" s="9"/>
      <c r="S29" s="9">
        <v>45367</v>
      </c>
    </row>
    <row r="30" spans="1:19" s="6" customFormat="1" ht="16.75" customHeight="1" x14ac:dyDescent="0.2">
      <c r="A30" s="7" t="s">
        <v>23</v>
      </c>
      <c r="B30" s="8">
        <v>1125</v>
      </c>
      <c r="C30" s="9">
        <v>45930</v>
      </c>
      <c r="D30" s="7" t="s">
        <v>69</v>
      </c>
      <c r="E30" s="7" t="s">
        <v>70</v>
      </c>
      <c r="F30" s="7" t="s">
        <v>71</v>
      </c>
      <c r="G30" s="10">
        <v>688</v>
      </c>
      <c r="H30" s="8">
        <v>1050</v>
      </c>
      <c r="I30" s="8">
        <v>20</v>
      </c>
      <c r="J30" s="8">
        <v>20</v>
      </c>
      <c r="K30" s="8">
        <v>25</v>
      </c>
      <c r="L30" s="8">
        <v>0</v>
      </c>
      <c r="M30" s="8">
        <v>10</v>
      </c>
      <c r="N30" s="8">
        <v>0</v>
      </c>
      <c r="O30" s="8">
        <v>0</v>
      </c>
      <c r="P30" s="8"/>
      <c r="Q30" s="8">
        <v>525</v>
      </c>
      <c r="R30" s="9"/>
      <c r="S30" s="9">
        <v>45536</v>
      </c>
    </row>
    <row r="31" spans="1:19" s="6" customFormat="1" ht="16.75" customHeight="1" x14ac:dyDescent="0.2">
      <c r="A31" s="7" t="s">
        <v>23</v>
      </c>
      <c r="B31" s="8">
        <v>1125</v>
      </c>
      <c r="C31" s="9">
        <v>45922</v>
      </c>
      <c r="D31" s="7" t="s">
        <v>72</v>
      </c>
      <c r="E31" s="7" t="s">
        <v>70</v>
      </c>
      <c r="F31" s="7" t="s">
        <v>73</v>
      </c>
      <c r="G31" s="10">
        <v>688</v>
      </c>
      <c r="H31" s="8">
        <v>1050</v>
      </c>
      <c r="I31" s="8">
        <v>20</v>
      </c>
      <c r="J31" s="8">
        <v>20</v>
      </c>
      <c r="K31" s="8">
        <v>25</v>
      </c>
      <c r="L31" s="8">
        <v>0</v>
      </c>
      <c r="M31" s="8">
        <v>10</v>
      </c>
      <c r="N31" s="8">
        <v>0</v>
      </c>
      <c r="O31" s="8">
        <v>0</v>
      </c>
      <c r="P31" s="8"/>
      <c r="Q31" s="8">
        <v>525</v>
      </c>
      <c r="R31" s="9"/>
      <c r="S31" s="9">
        <v>45527</v>
      </c>
    </row>
    <row r="32" spans="1:19" s="6" customFormat="1" ht="16.75" customHeight="1" x14ac:dyDescent="0.2">
      <c r="A32" s="7" t="s">
        <v>23</v>
      </c>
      <c r="B32" s="8">
        <v>1614</v>
      </c>
      <c r="C32" s="9">
        <v>45674</v>
      </c>
      <c r="D32" s="7" t="s">
        <v>74</v>
      </c>
      <c r="E32" s="7" t="s">
        <v>70</v>
      </c>
      <c r="F32" s="7" t="s">
        <v>75</v>
      </c>
      <c r="G32" s="10">
        <v>688</v>
      </c>
      <c r="H32" s="8">
        <v>1410</v>
      </c>
      <c r="I32" s="8">
        <v>0</v>
      </c>
      <c r="J32" s="8">
        <v>20</v>
      </c>
      <c r="K32" s="8">
        <v>25</v>
      </c>
      <c r="L32" s="8">
        <v>0</v>
      </c>
      <c r="M32" s="8">
        <v>4</v>
      </c>
      <c r="N32" s="8">
        <v>5</v>
      </c>
      <c r="O32" s="8">
        <v>0</v>
      </c>
      <c r="P32" s="8"/>
      <c r="Q32" s="8">
        <v>100</v>
      </c>
      <c r="R32" s="9"/>
      <c r="S32" s="9">
        <v>45309</v>
      </c>
    </row>
    <row r="33" spans="1:19" s="6" customFormat="1" ht="16.75" customHeight="1" x14ac:dyDescent="0.2">
      <c r="A33" s="7" t="s">
        <v>23</v>
      </c>
      <c r="B33" s="8">
        <v>1274</v>
      </c>
      <c r="C33" s="9">
        <v>45868</v>
      </c>
      <c r="D33" s="7" t="s">
        <v>76</v>
      </c>
      <c r="E33" s="7" t="s">
        <v>70</v>
      </c>
      <c r="F33" s="7" t="s">
        <v>77</v>
      </c>
      <c r="G33" s="10">
        <v>688</v>
      </c>
      <c r="H33" s="8">
        <v>1199</v>
      </c>
      <c r="I33" s="8">
        <v>15</v>
      </c>
      <c r="J33" s="8">
        <v>0</v>
      </c>
      <c r="K33" s="8">
        <v>0</v>
      </c>
      <c r="L33" s="8">
        <v>0</v>
      </c>
      <c r="M33" s="8">
        <v>10</v>
      </c>
      <c r="N33" s="8">
        <v>25</v>
      </c>
      <c r="O33" s="8">
        <v>25</v>
      </c>
      <c r="P33" s="8"/>
      <c r="Q33" s="8">
        <v>949.5</v>
      </c>
      <c r="R33" s="9"/>
      <c r="S33" s="9">
        <v>45471</v>
      </c>
    </row>
    <row r="34" spans="1:19" s="6" customFormat="1" ht="16.75" customHeight="1" x14ac:dyDescent="0.2">
      <c r="A34" s="7" t="s">
        <v>23</v>
      </c>
      <c r="B34" s="8">
        <v>1525</v>
      </c>
      <c r="C34" s="9">
        <v>45606</v>
      </c>
      <c r="D34" s="7" t="s">
        <v>78</v>
      </c>
      <c r="E34" s="7" t="s">
        <v>70</v>
      </c>
      <c r="F34" s="7" t="s">
        <v>79</v>
      </c>
      <c r="G34" s="10">
        <v>640</v>
      </c>
      <c r="H34" s="8">
        <v>1375</v>
      </c>
      <c r="I34" s="8">
        <v>20</v>
      </c>
      <c r="J34" s="8">
        <v>20</v>
      </c>
      <c r="K34" s="8">
        <v>25</v>
      </c>
      <c r="L34" s="8">
        <v>75</v>
      </c>
      <c r="M34" s="8">
        <v>10</v>
      </c>
      <c r="N34" s="8">
        <v>0</v>
      </c>
      <c r="O34" s="8">
        <v>0</v>
      </c>
      <c r="P34" s="8"/>
      <c r="Q34" s="8">
        <v>100</v>
      </c>
      <c r="R34" s="9"/>
      <c r="S34" s="9">
        <v>45240</v>
      </c>
    </row>
    <row r="35" spans="1:19" s="6" customFormat="1" ht="16.75" customHeight="1" x14ac:dyDescent="0.2">
      <c r="A35" s="7" t="s">
        <v>23</v>
      </c>
      <c r="B35" s="8">
        <v>1265</v>
      </c>
      <c r="C35" s="9">
        <v>45961</v>
      </c>
      <c r="D35" s="7" t="s">
        <v>81</v>
      </c>
      <c r="E35" s="7" t="s">
        <v>70</v>
      </c>
      <c r="F35" s="7" t="s">
        <v>222</v>
      </c>
      <c r="G35" s="10">
        <v>640</v>
      </c>
      <c r="H35" s="8">
        <v>1190</v>
      </c>
      <c r="I35" s="8">
        <v>20</v>
      </c>
      <c r="J35" s="8">
        <v>20</v>
      </c>
      <c r="K35" s="8">
        <v>25</v>
      </c>
      <c r="L35" s="8">
        <v>0</v>
      </c>
      <c r="M35" s="8">
        <v>10</v>
      </c>
      <c r="N35" s="8">
        <v>0</v>
      </c>
      <c r="O35" s="8">
        <v>0</v>
      </c>
      <c r="P35" s="8"/>
      <c r="Q35" s="8">
        <v>595</v>
      </c>
      <c r="R35" s="9"/>
      <c r="S35" s="9">
        <v>45597</v>
      </c>
    </row>
    <row r="36" spans="1:19" s="6" customFormat="1" ht="16.75" customHeight="1" x14ac:dyDescent="0.2">
      <c r="A36" s="7" t="s">
        <v>23</v>
      </c>
      <c r="B36" s="8">
        <v>1425</v>
      </c>
      <c r="C36" s="9">
        <v>45929</v>
      </c>
      <c r="D36" s="7" t="s">
        <v>82</v>
      </c>
      <c r="E36" s="7" t="s">
        <v>59</v>
      </c>
      <c r="F36" s="7" t="s">
        <v>83</v>
      </c>
      <c r="G36" s="10">
        <v>1009</v>
      </c>
      <c r="H36" s="8">
        <v>1350</v>
      </c>
      <c r="I36" s="8">
        <v>20</v>
      </c>
      <c r="J36" s="8">
        <v>20</v>
      </c>
      <c r="K36" s="8">
        <v>25</v>
      </c>
      <c r="L36" s="8">
        <v>0</v>
      </c>
      <c r="M36" s="8">
        <v>10</v>
      </c>
      <c r="N36" s="8">
        <v>0</v>
      </c>
      <c r="O36" s="8">
        <v>0</v>
      </c>
      <c r="P36" s="8"/>
      <c r="Q36" s="8">
        <v>675</v>
      </c>
      <c r="R36" s="9"/>
      <c r="S36" s="9">
        <v>45534</v>
      </c>
    </row>
    <row r="37" spans="1:19" s="6" customFormat="1" ht="16.75" customHeight="1" x14ac:dyDescent="0.2">
      <c r="A37" s="7" t="s">
        <v>23</v>
      </c>
      <c r="B37" s="8">
        <v>1969</v>
      </c>
      <c r="C37" s="9">
        <v>45760</v>
      </c>
      <c r="D37" s="7" t="s">
        <v>84</v>
      </c>
      <c r="E37" s="7" t="s">
        <v>51</v>
      </c>
      <c r="F37" s="7" t="s">
        <v>85</v>
      </c>
      <c r="G37" s="10">
        <v>1223</v>
      </c>
      <c r="H37" s="8">
        <v>1840</v>
      </c>
      <c r="I37" s="8">
        <v>0</v>
      </c>
      <c r="J37" s="8">
        <v>20</v>
      </c>
      <c r="K37" s="8">
        <v>25</v>
      </c>
      <c r="L37" s="8">
        <v>75</v>
      </c>
      <c r="M37" s="8">
        <v>4</v>
      </c>
      <c r="N37" s="8">
        <v>5</v>
      </c>
      <c r="O37" s="8">
        <v>0</v>
      </c>
      <c r="P37" s="8"/>
      <c r="Q37" s="8">
        <v>905</v>
      </c>
      <c r="R37" s="9"/>
      <c r="S37" s="9">
        <v>45044</v>
      </c>
    </row>
    <row r="38" spans="1:19" s="6" customFormat="1" ht="16.75" customHeight="1" x14ac:dyDescent="0.2">
      <c r="A38" s="7" t="s">
        <v>23</v>
      </c>
      <c r="B38" s="8">
        <v>1515</v>
      </c>
      <c r="C38" s="9">
        <v>45887</v>
      </c>
      <c r="D38" s="7" t="s">
        <v>86</v>
      </c>
      <c r="E38" s="7" t="s">
        <v>70</v>
      </c>
      <c r="F38" s="7" t="s">
        <v>87</v>
      </c>
      <c r="G38" s="10">
        <v>640</v>
      </c>
      <c r="H38" s="8">
        <v>1370</v>
      </c>
      <c r="I38" s="8">
        <v>15</v>
      </c>
      <c r="J38" s="8">
        <v>20</v>
      </c>
      <c r="K38" s="8">
        <v>25</v>
      </c>
      <c r="L38" s="8">
        <v>75</v>
      </c>
      <c r="M38" s="8">
        <v>10</v>
      </c>
      <c r="N38" s="8">
        <v>0</v>
      </c>
      <c r="O38" s="8">
        <v>0</v>
      </c>
      <c r="P38" s="8"/>
      <c r="Q38" s="8">
        <v>100</v>
      </c>
      <c r="R38" s="9"/>
      <c r="S38" s="9">
        <v>44793</v>
      </c>
    </row>
    <row r="39" spans="1:19" s="6" customFormat="1" ht="16.75" customHeight="1" x14ac:dyDescent="0.2">
      <c r="A39" s="7" t="s">
        <v>23</v>
      </c>
      <c r="B39" s="8">
        <v>1414</v>
      </c>
      <c r="C39" s="9">
        <v>46081</v>
      </c>
      <c r="D39" s="7" t="s">
        <v>217</v>
      </c>
      <c r="E39" s="7" t="s">
        <v>70</v>
      </c>
      <c r="F39" s="7" t="s">
        <v>236</v>
      </c>
      <c r="G39" s="10">
        <v>640</v>
      </c>
      <c r="H39" s="8">
        <v>1289</v>
      </c>
      <c r="I39" s="8">
        <v>20</v>
      </c>
      <c r="J39" s="8">
        <v>20</v>
      </c>
      <c r="K39" s="8">
        <v>25</v>
      </c>
      <c r="L39" s="8">
        <v>50</v>
      </c>
      <c r="M39" s="8">
        <v>10</v>
      </c>
      <c r="N39" s="8">
        <v>0</v>
      </c>
      <c r="O39" s="8">
        <v>0</v>
      </c>
      <c r="P39" s="8"/>
      <c r="Q39" s="8">
        <v>644.5</v>
      </c>
      <c r="R39" s="9"/>
      <c r="S39" s="9">
        <v>45658</v>
      </c>
    </row>
    <row r="40" spans="1:19" s="6" customFormat="1" ht="16.75" customHeight="1" x14ac:dyDescent="0.2">
      <c r="A40" s="7" t="s">
        <v>23</v>
      </c>
      <c r="B40" s="8">
        <v>1514</v>
      </c>
      <c r="C40" s="9">
        <v>45739</v>
      </c>
      <c r="D40" s="7" t="s">
        <v>88</v>
      </c>
      <c r="E40" s="7" t="s">
        <v>70</v>
      </c>
      <c r="F40" s="7" t="s">
        <v>89</v>
      </c>
      <c r="G40" s="10">
        <v>688</v>
      </c>
      <c r="H40" s="8">
        <v>1360</v>
      </c>
      <c r="I40" s="8">
        <v>0</v>
      </c>
      <c r="J40" s="8">
        <v>20</v>
      </c>
      <c r="K40" s="8">
        <v>25</v>
      </c>
      <c r="L40" s="8">
        <v>75</v>
      </c>
      <c r="M40" s="8">
        <v>4</v>
      </c>
      <c r="N40" s="8">
        <v>5</v>
      </c>
      <c r="O40" s="8">
        <v>25</v>
      </c>
      <c r="P40" s="8"/>
      <c r="Q40" s="8">
        <v>100</v>
      </c>
      <c r="R40" s="9"/>
      <c r="S40" s="9">
        <v>44480</v>
      </c>
    </row>
    <row r="41" spans="1:19" s="6" customFormat="1" ht="16.75" customHeight="1" x14ac:dyDescent="0.2">
      <c r="A41" s="7" t="s">
        <v>23</v>
      </c>
      <c r="B41" s="8">
        <v>1480</v>
      </c>
      <c r="C41" s="9">
        <v>45869</v>
      </c>
      <c r="D41" s="7" t="s">
        <v>90</v>
      </c>
      <c r="E41" s="7" t="s">
        <v>70</v>
      </c>
      <c r="F41" s="7" t="s">
        <v>91</v>
      </c>
      <c r="G41" s="10">
        <v>688</v>
      </c>
      <c r="H41" s="8">
        <v>1410</v>
      </c>
      <c r="I41" s="8">
        <v>15</v>
      </c>
      <c r="J41" s="8">
        <v>20</v>
      </c>
      <c r="K41" s="8">
        <v>25</v>
      </c>
      <c r="L41" s="8">
        <v>0</v>
      </c>
      <c r="M41" s="8">
        <v>10</v>
      </c>
      <c r="N41" s="8">
        <v>0</v>
      </c>
      <c r="O41" s="8">
        <v>0</v>
      </c>
      <c r="P41" s="8"/>
      <c r="Q41" s="8">
        <v>100</v>
      </c>
      <c r="R41" s="9"/>
      <c r="S41" s="9">
        <v>45141</v>
      </c>
    </row>
    <row r="42" spans="1:19" s="6" customFormat="1" ht="16.75" customHeight="1" x14ac:dyDescent="0.2">
      <c r="A42" s="7" t="s">
        <v>23</v>
      </c>
      <c r="B42" s="8">
        <v>1250</v>
      </c>
      <c r="C42" s="9">
        <v>45944</v>
      </c>
      <c r="D42" s="7" t="s">
        <v>92</v>
      </c>
      <c r="E42" s="7" t="s">
        <v>70</v>
      </c>
      <c r="F42" s="7" t="s">
        <v>93</v>
      </c>
      <c r="G42" s="10">
        <v>688</v>
      </c>
      <c r="H42" s="8">
        <v>1050</v>
      </c>
      <c r="I42" s="8">
        <v>20</v>
      </c>
      <c r="J42" s="8">
        <v>20</v>
      </c>
      <c r="K42" s="8">
        <v>25</v>
      </c>
      <c r="L42" s="8">
        <v>75</v>
      </c>
      <c r="M42" s="8">
        <v>10</v>
      </c>
      <c r="N42" s="8">
        <v>25</v>
      </c>
      <c r="O42" s="8">
        <v>50</v>
      </c>
      <c r="P42" s="8"/>
      <c r="Q42" s="8">
        <v>525</v>
      </c>
      <c r="R42" s="9"/>
      <c r="S42" s="9">
        <v>45550</v>
      </c>
    </row>
    <row r="43" spans="1:19" s="6" customFormat="1" ht="16.75" customHeight="1" x14ac:dyDescent="0.2">
      <c r="A43" s="7" t="s">
        <v>23</v>
      </c>
      <c r="B43" s="8">
        <v>1584</v>
      </c>
      <c r="C43" s="9">
        <v>45837</v>
      </c>
      <c r="D43" s="7" t="s">
        <v>94</v>
      </c>
      <c r="E43" s="7" t="s">
        <v>70</v>
      </c>
      <c r="F43" s="7" t="s">
        <v>95</v>
      </c>
      <c r="G43" s="10">
        <v>688</v>
      </c>
      <c r="H43" s="8">
        <v>1480</v>
      </c>
      <c r="I43" s="8">
        <v>0</v>
      </c>
      <c r="J43" s="8">
        <v>20</v>
      </c>
      <c r="K43" s="8">
        <v>25</v>
      </c>
      <c r="L43" s="8">
        <v>0</v>
      </c>
      <c r="M43" s="8">
        <v>4</v>
      </c>
      <c r="N43" s="8">
        <v>5</v>
      </c>
      <c r="O43" s="8">
        <v>50</v>
      </c>
      <c r="P43" s="8"/>
      <c r="Q43" s="8">
        <v>100</v>
      </c>
      <c r="R43" s="9"/>
      <c r="S43" s="9">
        <v>45045</v>
      </c>
    </row>
    <row r="44" spans="1:19" s="6" customFormat="1" ht="16.75" customHeight="1" x14ac:dyDescent="0.2">
      <c r="A44" s="7" t="s">
        <v>23</v>
      </c>
      <c r="B44" s="8">
        <v>1849</v>
      </c>
      <c r="C44" s="9">
        <v>45809</v>
      </c>
      <c r="D44" s="7" t="s">
        <v>96</v>
      </c>
      <c r="E44" s="7" t="s">
        <v>51</v>
      </c>
      <c r="F44" s="7" t="s">
        <v>97</v>
      </c>
      <c r="G44" s="10">
        <v>1140</v>
      </c>
      <c r="H44" s="8">
        <v>1795</v>
      </c>
      <c r="I44" s="8">
        <v>0</v>
      </c>
      <c r="J44" s="8">
        <v>20</v>
      </c>
      <c r="K44" s="8">
        <v>25</v>
      </c>
      <c r="L44" s="8">
        <v>0</v>
      </c>
      <c r="M44" s="8">
        <v>4</v>
      </c>
      <c r="N44" s="8">
        <v>5</v>
      </c>
      <c r="O44" s="8">
        <v>0</v>
      </c>
      <c r="P44" s="8"/>
      <c r="Q44" s="8">
        <v>100</v>
      </c>
      <c r="R44" s="9"/>
      <c r="S44" s="9">
        <v>45446</v>
      </c>
    </row>
    <row r="45" spans="1:19" s="6" customFormat="1" ht="16.75" customHeight="1" x14ac:dyDescent="0.2">
      <c r="A45" s="7" t="s">
        <v>23</v>
      </c>
      <c r="B45" s="8">
        <v>1590</v>
      </c>
      <c r="C45" s="9">
        <v>46075</v>
      </c>
      <c r="D45" s="7" t="s">
        <v>98</v>
      </c>
      <c r="E45" s="7" t="s">
        <v>51</v>
      </c>
      <c r="F45" s="15" t="s">
        <v>230</v>
      </c>
      <c r="G45" s="10">
        <v>1174</v>
      </c>
      <c r="H45" s="8">
        <v>1590</v>
      </c>
      <c r="I45" s="8">
        <v>20</v>
      </c>
      <c r="J45" s="8">
        <v>20</v>
      </c>
      <c r="K45" s="8">
        <v>25</v>
      </c>
      <c r="L45" s="8">
        <v>50</v>
      </c>
      <c r="M45" s="8">
        <v>10</v>
      </c>
      <c r="N45" s="8">
        <v>0</v>
      </c>
      <c r="O45" s="8">
        <v>0</v>
      </c>
      <c r="P45" s="8"/>
      <c r="Q45" s="8">
        <v>795</v>
      </c>
      <c r="R45" s="9"/>
      <c r="S45" s="9">
        <v>46014</v>
      </c>
    </row>
    <row r="46" spans="1:19" s="6" customFormat="1" ht="16.75" customHeight="1" x14ac:dyDescent="0.2">
      <c r="A46" s="7" t="s">
        <v>23</v>
      </c>
      <c r="B46" s="8">
        <v>1620</v>
      </c>
      <c r="C46" s="9">
        <v>45915</v>
      </c>
      <c r="D46" s="7" t="s">
        <v>99</v>
      </c>
      <c r="E46" s="7" t="s">
        <v>59</v>
      </c>
      <c r="F46" s="7" t="s">
        <v>100</v>
      </c>
      <c r="G46" s="10">
        <v>816</v>
      </c>
      <c r="H46" s="8">
        <v>1475</v>
      </c>
      <c r="I46" s="8">
        <v>15</v>
      </c>
      <c r="J46" s="8">
        <v>20</v>
      </c>
      <c r="K46" s="8">
        <v>25</v>
      </c>
      <c r="L46" s="8">
        <v>75</v>
      </c>
      <c r="M46" s="8">
        <v>10</v>
      </c>
      <c r="N46" s="8">
        <v>0</v>
      </c>
      <c r="O46" s="8">
        <v>0</v>
      </c>
      <c r="P46" s="8"/>
      <c r="Q46" s="8">
        <v>100</v>
      </c>
      <c r="R46" s="9"/>
      <c r="S46" s="9">
        <v>44478</v>
      </c>
    </row>
    <row r="47" spans="1:19" s="6" customFormat="1" ht="16.75" customHeight="1" x14ac:dyDescent="0.2">
      <c r="A47" s="7" t="s">
        <v>23</v>
      </c>
      <c r="B47" s="8">
        <v>1604</v>
      </c>
      <c r="C47" s="9">
        <v>45900</v>
      </c>
      <c r="D47" s="7" t="s">
        <v>101</v>
      </c>
      <c r="E47" s="7" t="s">
        <v>59</v>
      </c>
      <c r="F47" s="7" t="s">
        <v>102</v>
      </c>
      <c r="G47" s="10">
        <v>816</v>
      </c>
      <c r="H47" s="8">
        <v>1454</v>
      </c>
      <c r="I47" s="8">
        <v>20</v>
      </c>
      <c r="J47" s="8">
        <v>20</v>
      </c>
      <c r="K47" s="8">
        <v>25</v>
      </c>
      <c r="L47" s="8">
        <v>75</v>
      </c>
      <c r="M47" s="8">
        <v>10</v>
      </c>
      <c r="N47" s="8">
        <v>0</v>
      </c>
      <c r="O47" s="8">
        <v>0</v>
      </c>
      <c r="P47" s="8"/>
      <c r="Q47" s="8">
        <v>725</v>
      </c>
      <c r="R47" s="9"/>
      <c r="S47" s="9">
        <v>45512</v>
      </c>
    </row>
    <row r="48" spans="1:19" s="6" customFormat="1" ht="16.75" customHeight="1" x14ac:dyDescent="0.2">
      <c r="A48" s="7" t="s">
        <v>23</v>
      </c>
      <c r="B48" s="8">
        <v>1699</v>
      </c>
      <c r="C48" s="9">
        <v>45930</v>
      </c>
      <c r="D48" s="7" t="s">
        <v>103</v>
      </c>
      <c r="E48" s="7" t="s">
        <v>51</v>
      </c>
      <c r="F48" s="7" t="s">
        <v>104</v>
      </c>
      <c r="G48" s="10">
        <v>1140</v>
      </c>
      <c r="H48" s="8">
        <v>1549</v>
      </c>
      <c r="I48" s="8">
        <v>20</v>
      </c>
      <c r="J48" s="8">
        <v>20</v>
      </c>
      <c r="K48" s="8">
        <v>25</v>
      </c>
      <c r="L48" s="8">
        <v>75</v>
      </c>
      <c r="M48" s="8">
        <v>10</v>
      </c>
      <c r="N48" s="8">
        <v>0</v>
      </c>
      <c r="O48" s="8">
        <v>0</v>
      </c>
      <c r="P48" s="8"/>
      <c r="Q48" s="8">
        <v>849.5</v>
      </c>
      <c r="R48" s="9"/>
      <c r="S48" s="9">
        <v>45536</v>
      </c>
    </row>
    <row r="49" spans="1:19" s="6" customFormat="1" ht="16.75" customHeight="1" x14ac:dyDescent="0.2">
      <c r="A49" s="7" t="s">
        <v>229</v>
      </c>
      <c r="B49" s="8">
        <v>1690</v>
      </c>
      <c r="C49" s="9">
        <v>45711</v>
      </c>
      <c r="D49" s="7" t="s">
        <v>105</v>
      </c>
      <c r="E49" s="7" t="s">
        <v>59</v>
      </c>
      <c r="F49" s="7" t="s">
        <v>106</v>
      </c>
      <c r="G49" s="10">
        <v>917</v>
      </c>
      <c r="H49" s="8">
        <v>1611</v>
      </c>
      <c r="I49" s="8">
        <v>0</v>
      </c>
      <c r="J49" s="8">
        <v>20</v>
      </c>
      <c r="K49" s="8">
        <v>25</v>
      </c>
      <c r="L49" s="8">
        <v>0</v>
      </c>
      <c r="M49" s="8">
        <v>4</v>
      </c>
      <c r="N49" s="8">
        <v>5</v>
      </c>
      <c r="O49" s="8">
        <v>25</v>
      </c>
      <c r="P49" s="8"/>
      <c r="Q49" s="8">
        <v>100</v>
      </c>
      <c r="R49" s="9"/>
      <c r="S49" s="9">
        <v>44982</v>
      </c>
    </row>
    <row r="50" spans="1:19" s="6" customFormat="1" ht="16.75" customHeight="1" x14ac:dyDescent="0.2">
      <c r="A50" s="7" t="s">
        <v>23</v>
      </c>
      <c r="B50" s="8">
        <v>1995</v>
      </c>
      <c r="C50" s="9">
        <v>45991</v>
      </c>
      <c r="D50" s="7" t="s">
        <v>107</v>
      </c>
      <c r="E50" s="7" t="s">
        <v>51</v>
      </c>
      <c r="F50" s="7" t="s">
        <v>223</v>
      </c>
      <c r="G50" s="10">
        <v>1291</v>
      </c>
      <c r="H50" s="8">
        <v>1795</v>
      </c>
      <c r="I50" s="8">
        <v>20</v>
      </c>
      <c r="J50" s="8">
        <v>20</v>
      </c>
      <c r="K50" s="8">
        <v>25</v>
      </c>
      <c r="L50" s="8">
        <v>75</v>
      </c>
      <c r="M50" s="8">
        <v>10</v>
      </c>
      <c r="N50" s="8">
        <v>0</v>
      </c>
      <c r="O50" s="8">
        <v>50</v>
      </c>
      <c r="P50" s="8"/>
      <c r="Q50" s="8">
        <v>897</v>
      </c>
      <c r="R50" s="9"/>
      <c r="S50" s="9">
        <v>45604</v>
      </c>
    </row>
    <row r="51" spans="1:19" s="6" customFormat="1" ht="16.75" customHeight="1" x14ac:dyDescent="0.2">
      <c r="A51" s="7" t="s">
        <v>23</v>
      </c>
      <c r="B51" s="8">
        <v>54</v>
      </c>
      <c r="C51" s="9">
        <v>45599</v>
      </c>
      <c r="D51" s="7" t="s">
        <v>108</v>
      </c>
      <c r="E51" s="7" t="s">
        <v>51</v>
      </c>
      <c r="F51" s="7" t="s">
        <v>109</v>
      </c>
      <c r="G51" s="10">
        <v>1291</v>
      </c>
      <c r="H51" s="8">
        <v>1805</v>
      </c>
      <c r="I51" s="8">
        <v>0</v>
      </c>
      <c r="J51" s="8">
        <v>20</v>
      </c>
      <c r="K51" s="8">
        <v>25</v>
      </c>
      <c r="L51" s="8">
        <v>75</v>
      </c>
      <c r="M51" s="8">
        <v>4</v>
      </c>
      <c r="N51" s="8">
        <v>5</v>
      </c>
      <c r="O51" s="8">
        <v>0</v>
      </c>
      <c r="P51" s="8"/>
      <c r="Q51" s="8">
        <v>0</v>
      </c>
      <c r="R51" s="9"/>
      <c r="S51" s="9">
        <v>44470</v>
      </c>
    </row>
    <row r="52" spans="1:19" s="6" customFormat="1" ht="16.75" customHeight="1" x14ac:dyDescent="0.2">
      <c r="A52" s="7" t="s">
        <v>23</v>
      </c>
      <c r="B52" s="8">
        <v>1904</v>
      </c>
      <c r="C52" s="9">
        <v>45564</v>
      </c>
      <c r="D52" s="7" t="s">
        <v>110</v>
      </c>
      <c r="E52" s="7" t="s">
        <v>51</v>
      </c>
      <c r="F52" s="7" t="s">
        <v>111</v>
      </c>
      <c r="G52" s="10">
        <v>1165</v>
      </c>
      <c r="H52" s="8">
        <v>1675</v>
      </c>
      <c r="I52" s="8">
        <v>0</v>
      </c>
      <c r="J52" s="8">
        <v>20</v>
      </c>
      <c r="K52" s="8">
        <v>25</v>
      </c>
      <c r="L52" s="8">
        <v>150</v>
      </c>
      <c r="M52" s="8">
        <v>4</v>
      </c>
      <c r="N52" s="8">
        <v>5</v>
      </c>
      <c r="O52" s="8">
        <v>25</v>
      </c>
      <c r="P52" s="8"/>
      <c r="Q52" s="8">
        <v>100</v>
      </c>
      <c r="R52" s="9"/>
      <c r="S52" s="9">
        <v>44471</v>
      </c>
    </row>
    <row r="53" spans="1:19" s="6" customFormat="1" ht="16.75" customHeight="1" x14ac:dyDescent="0.2">
      <c r="A53" s="7" t="s">
        <v>23</v>
      </c>
      <c r="B53" s="8">
        <v>2175</v>
      </c>
      <c r="C53" s="9">
        <v>45838</v>
      </c>
      <c r="D53" s="7" t="s">
        <v>112</v>
      </c>
      <c r="E53" s="7" t="s">
        <v>54</v>
      </c>
      <c r="F53" s="7" t="s">
        <v>113</v>
      </c>
      <c r="G53" s="10">
        <v>1447</v>
      </c>
      <c r="H53" s="8">
        <v>2025</v>
      </c>
      <c r="I53" s="8">
        <v>15</v>
      </c>
      <c r="J53" s="8">
        <v>20</v>
      </c>
      <c r="K53" s="8">
        <v>25</v>
      </c>
      <c r="L53" s="8">
        <v>75</v>
      </c>
      <c r="M53" s="8">
        <v>10</v>
      </c>
      <c r="N53" s="8">
        <v>5</v>
      </c>
      <c r="O53" s="8">
        <v>0</v>
      </c>
      <c r="P53" s="8"/>
      <c r="Q53" s="8">
        <v>1012.5</v>
      </c>
      <c r="R53" s="9"/>
      <c r="S53" s="9">
        <v>45154</v>
      </c>
    </row>
    <row r="54" spans="1:19" s="6" customFormat="1" ht="16.75" customHeight="1" x14ac:dyDescent="0.2">
      <c r="A54" s="7" t="s">
        <v>23</v>
      </c>
      <c r="B54" s="8">
        <v>1864</v>
      </c>
      <c r="C54" s="9">
        <v>45599</v>
      </c>
      <c r="D54" s="7" t="s">
        <v>114</v>
      </c>
      <c r="E54" s="7" t="s">
        <v>51</v>
      </c>
      <c r="F54" s="7" t="s">
        <v>115</v>
      </c>
      <c r="G54" s="10">
        <v>1140</v>
      </c>
      <c r="H54" s="8">
        <v>1710</v>
      </c>
      <c r="I54" s="8">
        <v>0</v>
      </c>
      <c r="J54" s="8">
        <v>20</v>
      </c>
      <c r="K54" s="8">
        <v>25</v>
      </c>
      <c r="L54" s="8">
        <v>100</v>
      </c>
      <c r="M54" s="8">
        <v>4</v>
      </c>
      <c r="N54" s="8">
        <v>5</v>
      </c>
      <c r="O54" s="8">
        <v>0</v>
      </c>
      <c r="P54" s="8"/>
      <c r="Q54" s="8">
        <v>100</v>
      </c>
      <c r="R54" s="9"/>
      <c r="S54" s="9">
        <v>44487</v>
      </c>
    </row>
    <row r="55" spans="1:19" s="6" customFormat="1" ht="16.75" customHeight="1" x14ac:dyDescent="0.2">
      <c r="A55" s="7" t="s">
        <v>23</v>
      </c>
      <c r="B55" s="8">
        <v>1775</v>
      </c>
      <c r="C55" s="9">
        <v>45820</v>
      </c>
      <c r="D55" s="7" t="s">
        <v>116</v>
      </c>
      <c r="E55" s="7" t="s">
        <v>59</v>
      </c>
      <c r="F55" s="7" t="s">
        <v>117</v>
      </c>
      <c r="G55" s="10">
        <v>917</v>
      </c>
      <c r="H55" s="8">
        <v>1650</v>
      </c>
      <c r="I55" s="8">
        <v>15</v>
      </c>
      <c r="J55" s="8">
        <v>0</v>
      </c>
      <c r="K55" s="8">
        <v>0</v>
      </c>
      <c r="L55" s="8">
        <v>75</v>
      </c>
      <c r="M55" s="8">
        <v>10</v>
      </c>
      <c r="N55" s="8">
        <v>25</v>
      </c>
      <c r="O55" s="8">
        <v>0</v>
      </c>
      <c r="P55" s="8"/>
      <c r="Q55" s="8">
        <v>825</v>
      </c>
      <c r="R55" s="9"/>
      <c r="S55" s="9">
        <v>45456</v>
      </c>
    </row>
    <row r="56" spans="1:19" s="6" customFormat="1" ht="16.75" customHeight="1" x14ac:dyDescent="0.2">
      <c r="A56" s="7" t="s">
        <v>23</v>
      </c>
      <c r="B56" s="8">
        <v>1604</v>
      </c>
      <c r="C56" s="9">
        <v>45716</v>
      </c>
      <c r="D56" s="7" t="s">
        <v>118</v>
      </c>
      <c r="E56" s="7" t="s">
        <v>59</v>
      </c>
      <c r="F56" s="7" t="s">
        <v>119</v>
      </c>
      <c r="G56" s="10">
        <v>816</v>
      </c>
      <c r="H56" s="8">
        <v>1550</v>
      </c>
      <c r="I56" s="8">
        <v>0</v>
      </c>
      <c r="J56" s="8">
        <v>20</v>
      </c>
      <c r="K56" s="8">
        <v>25</v>
      </c>
      <c r="L56" s="8">
        <v>0</v>
      </c>
      <c r="M56" s="8">
        <v>4</v>
      </c>
      <c r="N56" s="8">
        <v>5</v>
      </c>
      <c r="O56" s="8">
        <v>0</v>
      </c>
      <c r="P56" s="8"/>
      <c r="Q56" s="8">
        <v>100</v>
      </c>
      <c r="R56" s="9"/>
      <c r="S56" s="9">
        <v>45352</v>
      </c>
    </row>
    <row r="57" spans="1:19" s="6" customFormat="1" ht="16.75" customHeight="1" x14ac:dyDescent="0.2">
      <c r="A57" s="7" t="s">
        <v>23</v>
      </c>
      <c r="B57" s="8">
        <v>1175</v>
      </c>
      <c r="C57" s="9">
        <v>45930</v>
      </c>
      <c r="D57" s="7" t="s">
        <v>120</v>
      </c>
      <c r="E57" s="7" t="s">
        <v>59</v>
      </c>
      <c r="F57" s="7" t="s">
        <v>121</v>
      </c>
      <c r="G57" s="10">
        <v>816</v>
      </c>
      <c r="H57" s="8">
        <v>1100</v>
      </c>
      <c r="I57" s="8">
        <v>20</v>
      </c>
      <c r="J57" s="8">
        <v>20</v>
      </c>
      <c r="K57" s="8">
        <v>25</v>
      </c>
      <c r="L57" s="8">
        <v>0</v>
      </c>
      <c r="M57" s="8">
        <v>10</v>
      </c>
      <c r="N57" s="8">
        <v>0</v>
      </c>
      <c r="O57" s="8">
        <v>0</v>
      </c>
      <c r="P57" s="8"/>
      <c r="Q57" s="8">
        <v>550</v>
      </c>
      <c r="R57" s="9"/>
      <c r="S57" s="9">
        <v>45901</v>
      </c>
    </row>
    <row r="58" spans="1:19" s="6" customFormat="1" ht="16.75" customHeight="1" x14ac:dyDescent="0.2">
      <c r="A58" s="7" t="s">
        <v>23</v>
      </c>
      <c r="B58" s="8">
        <v>1924</v>
      </c>
      <c r="C58" s="9">
        <v>45802</v>
      </c>
      <c r="D58" s="7" t="s">
        <v>122</v>
      </c>
      <c r="E58" s="7" t="s">
        <v>51</v>
      </c>
      <c r="F58" s="7" t="s">
        <v>123</v>
      </c>
      <c r="G58" s="10">
        <v>1140</v>
      </c>
      <c r="H58" s="8">
        <v>1870</v>
      </c>
      <c r="I58" s="8">
        <v>0</v>
      </c>
      <c r="J58" s="8">
        <v>20</v>
      </c>
      <c r="K58" s="8">
        <v>25</v>
      </c>
      <c r="L58" s="8">
        <v>0</v>
      </c>
      <c r="M58" s="8">
        <v>4</v>
      </c>
      <c r="N58" s="8">
        <v>5</v>
      </c>
      <c r="O58" s="8">
        <v>0</v>
      </c>
      <c r="P58" s="8"/>
      <c r="Q58" s="8">
        <v>100</v>
      </c>
      <c r="R58" s="9"/>
      <c r="S58" s="9">
        <v>45044</v>
      </c>
    </row>
    <row r="59" spans="1:19" s="6" customFormat="1" ht="16.75" customHeight="1" x14ac:dyDescent="0.2">
      <c r="A59" s="7" t="s">
        <v>23</v>
      </c>
      <c r="B59" s="8">
        <v>1779</v>
      </c>
      <c r="C59" s="9">
        <v>45571</v>
      </c>
      <c r="D59" s="7" t="s">
        <v>124</v>
      </c>
      <c r="E59" s="7" t="s">
        <v>51</v>
      </c>
      <c r="F59" s="7" t="s">
        <v>125</v>
      </c>
      <c r="G59" s="10">
        <v>1140</v>
      </c>
      <c r="H59" s="8">
        <v>1650</v>
      </c>
      <c r="I59" s="8">
        <v>0</v>
      </c>
      <c r="J59" s="8">
        <v>20</v>
      </c>
      <c r="K59" s="8">
        <v>25</v>
      </c>
      <c r="L59" s="8">
        <v>75</v>
      </c>
      <c r="M59" s="8">
        <v>4</v>
      </c>
      <c r="N59" s="8">
        <v>5</v>
      </c>
      <c r="O59" s="8">
        <v>0</v>
      </c>
      <c r="P59" s="8"/>
      <c r="Q59" s="8">
        <v>749.5</v>
      </c>
      <c r="R59" s="9"/>
      <c r="S59" s="9">
        <v>44473</v>
      </c>
    </row>
    <row r="60" spans="1:19" s="6" customFormat="1" ht="16.75" customHeight="1" x14ac:dyDescent="0.2">
      <c r="A60" s="7" t="s">
        <v>23</v>
      </c>
      <c r="B60" s="8">
        <v>1156</v>
      </c>
      <c r="C60" s="9">
        <v>45869</v>
      </c>
      <c r="D60" s="7" t="s">
        <v>126</v>
      </c>
      <c r="E60" s="7" t="s">
        <v>70</v>
      </c>
      <c r="F60" s="7" t="s">
        <v>127</v>
      </c>
      <c r="G60" s="10">
        <v>688</v>
      </c>
      <c r="H60" s="8">
        <v>1460</v>
      </c>
      <c r="I60" s="8">
        <v>15</v>
      </c>
      <c r="J60" s="8">
        <v>20</v>
      </c>
      <c r="K60" s="8">
        <v>25</v>
      </c>
      <c r="L60" s="8">
        <v>75</v>
      </c>
      <c r="M60" s="8">
        <v>10</v>
      </c>
      <c r="N60" s="8">
        <v>5</v>
      </c>
      <c r="O60" s="8">
        <v>0</v>
      </c>
      <c r="P60" s="8"/>
      <c r="Q60" s="8">
        <v>100</v>
      </c>
      <c r="R60" s="9"/>
      <c r="S60" s="9">
        <v>44476</v>
      </c>
    </row>
    <row r="61" spans="1:19" s="6" customFormat="1" ht="16.75" customHeight="1" x14ac:dyDescent="0.2">
      <c r="A61" s="7" t="s">
        <v>23</v>
      </c>
      <c r="B61" s="8">
        <v>1414</v>
      </c>
      <c r="C61" s="9">
        <v>45894</v>
      </c>
      <c r="D61" s="7" t="s">
        <v>128</v>
      </c>
      <c r="E61" s="7" t="s">
        <v>70</v>
      </c>
      <c r="F61" s="7" t="s">
        <v>129</v>
      </c>
      <c r="G61" s="10">
        <v>688</v>
      </c>
      <c r="H61" s="8">
        <v>1285</v>
      </c>
      <c r="I61" s="8">
        <v>0</v>
      </c>
      <c r="J61" s="8">
        <v>20</v>
      </c>
      <c r="K61" s="8">
        <v>25</v>
      </c>
      <c r="L61" s="8">
        <v>75</v>
      </c>
      <c r="M61" s="8">
        <v>4</v>
      </c>
      <c r="N61" s="8">
        <v>5</v>
      </c>
      <c r="O61" s="8">
        <v>0</v>
      </c>
      <c r="P61" s="8"/>
      <c r="Q61" s="8">
        <v>100</v>
      </c>
      <c r="R61" s="9"/>
      <c r="S61" s="9">
        <v>45164</v>
      </c>
    </row>
    <row r="62" spans="1:19" s="6" customFormat="1" ht="16.75" customHeight="1" x14ac:dyDescent="0.2">
      <c r="A62" s="7" t="s">
        <v>23</v>
      </c>
      <c r="B62" s="8">
        <v>1050</v>
      </c>
      <c r="C62" s="9">
        <v>45930</v>
      </c>
      <c r="D62" s="7" t="s">
        <v>130</v>
      </c>
      <c r="E62" s="7" t="s">
        <v>70</v>
      </c>
      <c r="F62" s="7" t="s">
        <v>219</v>
      </c>
      <c r="G62" s="10">
        <v>688</v>
      </c>
      <c r="H62" s="8">
        <v>1335</v>
      </c>
      <c r="I62" s="8">
        <v>0</v>
      </c>
      <c r="J62" s="8">
        <v>0</v>
      </c>
      <c r="K62" s="8">
        <v>25</v>
      </c>
      <c r="L62" s="8">
        <v>0</v>
      </c>
      <c r="M62" s="8">
        <v>4</v>
      </c>
      <c r="N62" s="8">
        <v>5</v>
      </c>
      <c r="O62" s="8">
        <v>0</v>
      </c>
      <c r="P62" s="8"/>
      <c r="Q62" s="8">
        <v>100</v>
      </c>
      <c r="R62" s="9"/>
      <c r="S62" s="9">
        <v>45171</v>
      </c>
    </row>
    <row r="63" spans="1:19" s="6" customFormat="1" ht="16.75" customHeight="1" x14ac:dyDescent="0.2">
      <c r="A63" s="7" t="s">
        <v>229</v>
      </c>
      <c r="B63" s="8">
        <v>1479</v>
      </c>
      <c r="C63" s="9">
        <v>45704</v>
      </c>
      <c r="D63" s="7" t="s">
        <v>131</v>
      </c>
      <c r="E63" s="7" t="s">
        <v>70</v>
      </c>
      <c r="F63" s="7" t="s">
        <v>132</v>
      </c>
      <c r="G63" s="10">
        <v>688</v>
      </c>
      <c r="H63" s="8">
        <v>1400</v>
      </c>
      <c r="I63" s="8">
        <v>0</v>
      </c>
      <c r="J63" s="8">
        <v>20</v>
      </c>
      <c r="K63" s="8">
        <v>25</v>
      </c>
      <c r="L63" s="8">
        <v>0</v>
      </c>
      <c r="M63" s="8">
        <v>4</v>
      </c>
      <c r="N63" s="8">
        <v>5</v>
      </c>
      <c r="O63" s="8">
        <v>25</v>
      </c>
      <c r="P63" s="8"/>
      <c r="Q63" s="8">
        <v>100</v>
      </c>
      <c r="R63" s="9"/>
      <c r="S63" s="9">
        <v>44499</v>
      </c>
    </row>
    <row r="64" spans="1:19" s="6" customFormat="1" ht="16.75" customHeight="1" x14ac:dyDescent="0.2">
      <c r="A64" s="7" t="s">
        <v>23</v>
      </c>
      <c r="B64" s="8">
        <v>1474</v>
      </c>
      <c r="C64" s="9">
        <v>45900</v>
      </c>
      <c r="D64" s="7" t="s">
        <v>133</v>
      </c>
      <c r="E64" s="7" t="s">
        <v>70</v>
      </c>
      <c r="F64" s="7" t="s">
        <v>134</v>
      </c>
      <c r="G64" s="10">
        <v>640</v>
      </c>
      <c r="H64" s="8">
        <v>1329</v>
      </c>
      <c r="I64" s="8">
        <v>15</v>
      </c>
      <c r="J64" s="8">
        <v>20</v>
      </c>
      <c r="K64" s="8">
        <v>25</v>
      </c>
      <c r="L64" s="8">
        <v>75</v>
      </c>
      <c r="M64" s="8">
        <v>10</v>
      </c>
      <c r="N64" s="8">
        <v>0</v>
      </c>
      <c r="O64" s="8">
        <v>0</v>
      </c>
      <c r="P64" s="8"/>
      <c r="Q64" s="8">
        <v>664.5</v>
      </c>
      <c r="R64" s="9"/>
      <c r="S64" s="9">
        <v>45518</v>
      </c>
    </row>
    <row r="65" spans="1:19" s="6" customFormat="1" ht="16.75" customHeight="1" x14ac:dyDescent="0.2">
      <c r="A65" s="7" t="s">
        <v>23</v>
      </c>
      <c r="B65" s="8">
        <v>1399</v>
      </c>
      <c r="C65" s="9">
        <v>45760</v>
      </c>
      <c r="D65" s="7" t="s">
        <v>135</v>
      </c>
      <c r="E65" s="7" t="s">
        <v>70</v>
      </c>
      <c r="F65" s="7" t="s">
        <v>136</v>
      </c>
      <c r="G65" s="10">
        <v>640</v>
      </c>
      <c r="H65" s="8">
        <v>1320</v>
      </c>
      <c r="I65" s="8">
        <v>0</v>
      </c>
      <c r="J65" s="8">
        <v>20</v>
      </c>
      <c r="K65" s="8">
        <v>25</v>
      </c>
      <c r="L65" s="8">
        <v>0</v>
      </c>
      <c r="M65" s="8">
        <v>4</v>
      </c>
      <c r="N65" s="8">
        <v>5</v>
      </c>
      <c r="O65" s="8">
        <v>25</v>
      </c>
      <c r="P65" s="8"/>
      <c r="Q65" s="8">
        <v>612.5</v>
      </c>
      <c r="R65" s="9"/>
      <c r="S65" s="9">
        <v>44758</v>
      </c>
    </row>
    <row r="66" spans="1:19" s="6" customFormat="1" ht="16.75" customHeight="1" x14ac:dyDescent="0.2">
      <c r="A66" s="7" t="s">
        <v>23</v>
      </c>
      <c r="B66" s="8">
        <v>1764</v>
      </c>
      <c r="C66" s="9">
        <v>45725</v>
      </c>
      <c r="D66" s="7" t="s">
        <v>137</v>
      </c>
      <c r="E66" s="7" t="s">
        <v>59</v>
      </c>
      <c r="F66" s="7" t="s">
        <v>138</v>
      </c>
      <c r="G66" s="10">
        <v>1009</v>
      </c>
      <c r="H66" s="8">
        <v>1635</v>
      </c>
      <c r="I66" s="8">
        <v>0</v>
      </c>
      <c r="J66" s="8">
        <v>20</v>
      </c>
      <c r="K66" s="8">
        <v>25</v>
      </c>
      <c r="L66" s="8">
        <v>50</v>
      </c>
      <c r="M66" s="8">
        <v>4</v>
      </c>
      <c r="N66" s="8">
        <v>5</v>
      </c>
      <c r="O66" s="8">
        <v>25</v>
      </c>
      <c r="P66" s="8"/>
      <c r="Q66" s="8">
        <v>100</v>
      </c>
      <c r="R66" s="9"/>
      <c r="S66" s="9">
        <v>44480</v>
      </c>
    </row>
    <row r="67" spans="1:19" s="6" customFormat="1" ht="16.75" customHeight="1" x14ac:dyDescent="0.2">
      <c r="A67" s="7" t="s">
        <v>23</v>
      </c>
      <c r="B67" s="8">
        <v>1814</v>
      </c>
      <c r="C67" s="9">
        <v>45613</v>
      </c>
      <c r="D67" s="7" t="s">
        <v>139</v>
      </c>
      <c r="E67" s="7" t="s">
        <v>51</v>
      </c>
      <c r="F67" s="7" t="s">
        <v>140</v>
      </c>
      <c r="G67" s="10">
        <v>1223</v>
      </c>
      <c r="H67" s="8">
        <v>1760</v>
      </c>
      <c r="I67" s="8">
        <v>0</v>
      </c>
      <c r="J67" s="8">
        <v>20</v>
      </c>
      <c r="K67" s="8">
        <v>25</v>
      </c>
      <c r="L67" s="8">
        <v>0</v>
      </c>
      <c r="M67" s="8">
        <v>4</v>
      </c>
      <c r="N67" s="8">
        <v>5</v>
      </c>
      <c r="O67" s="8">
        <v>0</v>
      </c>
      <c r="P67" s="8"/>
      <c r="Q67" s="8">
        <v>100</v>
      </c>
      <c r="R67" s="9"/>
      <c r="S67" s="9">
        <v>44880</v>
      </c>
    </row>
    <row r="68" spans="1:19" s="6" customFormat="1" ht="16.75" customHeight="1" x14ac:dyDescent="0.2">
      <c r="A68" s="7" t="s">
        <v>80</v>
      </c>
      <c r="B68" s="8"/>
      <c r="C68" s="9"/>
      <c r="D68" s="7" t="s">
        <v>141</v>
      </c>
      <c r="E68" s="7" t="s">
        <v>70</v>
      </c>
      <c r="F68" s="7"/>
      <c r="G68" s="10">
        <v>640</v>
      </c>
      <c r="H68" s="8">
        <v>1400</v>
      </c>
      <c r="I68" s="8">
        <v>0</v>
      </c>
      <c r="J68" s="8">
        <v>20</v>
      </c>
      <c r="K68" s="8">
        <v>25</v>
      </c>
      <c r="L68" s="8">
        <v>0</v>
      </c>
      <c r="M68" s="8">
        <v>4</v>
      </c>
      <c r="N68" s="8">
        <v>5</v>
      </c>
      <c r="O68" s="8">
        <v>0</v>
      </c>
      <c r="P68" s="8"/>
      <c r="Q68" s="8">
        <v>1335</v>
      </c>
      <c r="R68" s="9"/>
      <c r="S68" s="9">
        <v>45233</v>
      </c>
    </row>
    <row r="69" spans="1:19" s="6" customFormat="1" ht="16.75" customHeight="1" x14ac:dyDescent="0.2">
      <c r="A69" s="7" t="s">
        <v>23</v>
      </c>
      <c r="B69" s="8">
        <v>1254</v>
      </c>
      <c r="C69" s="9">
        <v>45634</v>
      </c>
      <c r="D69" s="7" t="s">
        <v>142</v>
      </c>
      <c r="E69" s="7" t="s">
        <v>70</v>
      </c>
      <c r="F69" s="7" t="s">
        <v>143</v>
      </c>
      <c r="G69" s="10">
        <v>640</v>
      </c>
      <c r="H69" s="8">
        <v>1200</v>
      </c>
      <c r="I69" s="8">
        <v>0</v>
      </c>
      <c r="J69" s="8">
        <v>20</v>
      </c>
      <c r="K69" s="8">
        <v>25</v>
      </c>
      <c r="L69" s="8">
        <v>0</v>
      </c>
      <c r="M69" s="8">
        <v>4</v>
      </c>
      <c r="N69" s="8">
        <v>5</v>
      </c>
      <c r="O69" s="8">
        <v>0</v>
      </c>
      <c r="P69" s="8"/>
      <c r="Q69" s="8">
        <v>100</v>
      </c>
      <c r="R69" s="9"/>
      <c r="S69" s="9">
        <v>44471</v>
      </c>
    </row>
    <row r="70" spans="1:19" s="6" customFormat="1" ht="16.75" customHeight="1" x14ac:dyDescent="0.2">
      <c r="A70" s="7" t="s">
        <v>23</v>
      </c>
      <c r="B70" s="8">
        <v>1419</v>
      </c>
      <c r="C70" s="9">
        <v>45585</v>
      </c>
      <c r="D70" s="7" t="s">
        <v>144</v>
      </c>
      <c r="E70" s="7" t="s">
        <v>70</v>
      </c>
      <c r="F70" s="7" t="s">
        <v>145</v>
      </c>
      <c r="G70" s="10">
        <v>688</v>
      </c>
      <c r="H70" s="8">
        <v>1385</v>
      </c>
      <c r="I70" s="8">
        <v>0</v>
      </c>
      <c r="J70" s="8">
        <v>0</v>
      </c>
      <c r="K70" s="8">
        <v>25</v>
      </c>
      <c r="L70" s="8">
        <v>0</v>
      </c>
      <c r="M70" s="8">
        <v>4</v>
      </c>
      <c r="N70" s="8">
        <v>5</v>
      </c>
      <c r="O70" s="8">
        <v>0</v>
      </c>
      <c r="P70" s="8"/>
      <c r="Q70" s="8">
        <v>782.5</v>
      </c>
      <c r="R70" s="9"/>
      <c r="S70" s="9">
        <v>45184</v>
      </c>
    </row>
    <row r="71" spans="1:19" s="6" customFormat="1" ht="16.75" customHeight="1" x14ac:dyDescent="0.2">
      <c r="A71" s="7" t="s">
        <v>218</v>
      </c>
      <c r="B71" s="8"/>
      <c r="C71" s="9"/>
      <c r="D71" s="7" t="s">
        <v>146</v>
      </c>
      <c r="E71" s="7" t="s">
        <v>70</v>
      </c>
      <c r="F71" s="7"/>
      <c r="G71" s="10">
        <v>688</v>
      </c>
      <c r="H71" s="8">
        <v>1360</v>
      </c>
      <c r="I71" s="8">
        <v>0</v>
      </c>
      <c r="J71" s="8">
        <v>20</v>
      </c>
      <c r="K71" s="8">
        <v>25</v>
      </c>
      <c r="L71" s="8">
        <v>0</v>
      </c>
      <c r="M71" s="8">
        <v>4</v>
      </c>
      <c r="N71" s="8">
        <v>5</v>
      </c>
      <c r="O71" s="8">
        <v>0</v>
      </c>
      <c r="P71" s="8"/>
      <c r="Q71" s="8">
        <v>100</v>
      </c>
      <c r="R71" s="9"/>
      <c r="S71" s="9">
        <v>45199</v>
      </c>
    </row>
    <row r="72" spans="1:19" s="6" customFormat="1" ht="16.75" customHeight="1" x14ac:dyDescent="0.2">
      <c r="A72" s="7" t="s">
        <v>23</v>
      </c>
      <c r="B72" s="8">
        <v>1339</v>
      </c>
      <c r="C72" s="9">
        <v>45578</v>
      </c>
      <c r="D72" s="7" t="s">
        <v>147</v>
      </c>
      <c r="E72" s="7" t="s">
        <v>70</v>
      </c>
      <c r="F72" s="7" t="s">
        <v>148</v>
      </c>
      <c r="G72" s="10">
        <v>688</v>
      </c>
      <c r="H72" s="8">
        <v>1285</v>
      </c>
      <c r="I72" s="8">
        <v>0</v>
      </c>
      <c r="J72" s="8">
        <v>20</v>
      </c>
      <c r="K72" s="8">
        <v>25</v>
      </c>
      <c r="L72" s="8">
        <v>0</v>
      </c>
      <c r="M72" s="8">
        <v>4</v>
      </c>
      <c r="N72" s="8">
        <v>5</v>
      </c>
      <c r="O72" s="8">
        <v>0</v>
      </c>
      <c r="P72" s="8"/>
      <c r="Q72" s="8">
        <v>100</v>
      </c>
      <c r="R72" s="9"/>
      <c r="S72" s="9">
        <v>44474</v>
      </c>
    </row>
    <row r="73" spans="1:19" s="6" customFormat="1" ht="16.75" customHeight="1" x14ac:dyDescent="0.2">
      <c r="A73" s="7" t="s">
        <v>23</v>
      </c>
      <c r="B73" s="8">
        <v>1247.3900000000001</v>
      </c>
      <c r="C73" s="9">
        <v>45925</v>
      </c>
      <c r="D73" s="7" t="s">
        <v>149</v>
      </c>
      <c r="E73" s="7" t="s">
        <v>70</v>
      </c>
      <c r="F73" s="7" t="s">
        <v>150</v>
      </c>
      <c r="G73" s="10">
        <v>688</v>
      </c>
      <c r="H73" s="8">
        <v>1177.3900000000001</v>
      </c>
      <c r="I73" s="8">
        <v>15</v>
      </c>
      <c r="J73" s="8">
        <v>20</v>
      </c>
      <c r="K73" s="8">
        <v>25</v>
      </c>
      <c r="L73" s="8">
        <v>0</v>
      </c>
      <c r="M73" s="8">
        <v>10</v>
      </c>
      <c r="N73" s="8">
        <v>0</v>
      </c>
      <c r="O73" s="8">
        <v>0</v>
      </c>
      <c r="P73" s="8"/>
      <c r="Q73" s="8">
        <v>650</v>
      </c>
      <c r="R73" s="9"/>
      <c r="S73" s="9">
        <v>45561</v>
      </c>
    </row>
    <row r="74" spans="1:19" s="6" customFormat="1" ht="16.75" customHeight="1" x14ac:dyDescent="0.2">
      <c r="A74" s="7" t="s">
        <v>23</v>
      </c>
      <c r="B74" s="8">
        <v>1999</v>
      </c>
      <c r="C74" s="9">
        <v>45879</v>
      </c>
      <c r="D74" s="7" t="s">
        <v>151</v>
      </c>
      <c r="E74" s="7" t="s">
        <v>51</v>
      </c>
      <c r="F74" s="7" t="s">
        <v>152</v>
      </c>
      <c r="G74" s="10">
        <v>1140</v>
      </c>
      <c r="H74" s="8">
        <v>1795</v>
      </c>
      <c r="I74" s="8">
        <v>0</v>
      </c>
      <c r="J74" s="8">
        <v>20</v>
      </c>
      <c r="K74" s="8">
        <v>25</v>
      </c>
      <c r="L74" s="8">
        <v>150</v>
      </c>
      <c r="M74" s="8">
        <v>4</v>
      </c>
      <c r="N74" s="8">
        <v>5</v>
      </c>
      <c r="O74" s="8">
        <v>0</v>
      </c>
      <c r="P74" s="8"/>
      <c r="Q74" s="8">
        <v>100</v>
      </c>
      <c r="R74" s="9"/>
      <c r="S74" s="9">
        <v>44757</v>
      </c>
    </row>
    <row r="75" spans="1:19" s="6" customFormat="1" ht="16.75" customHeight="1" x14ac:dyDescent="0.2">
      <c r="A75" s="7" t="s">
        <v>23</v>
      </c>
      <c r="B75" s="8">
        <v>1515</v>
      </c>
      <c r="C75" s="9">
        <v>46022</v>
      </c>
      <c r="D75" s="7" t="s">
        <v>153</v>
      </c>
      <c r="E75" s="7" t="s">
        <v>51</v>
      </c>
      <c r="F75" s="7" t="s">
        <v>228</v>
      </c>
      <c r="G75" s="10">
        <v>1174</v>
      </c>
      <c r="H75" s="8">
        <v>1770</v>
      </c>
      <c r="I75" s="8">
        <v>0</v>
      </c>
      <c r="J75" s="8">
        <v>20</v>
      </c>
      <c r="K75" s="8">
        <v>25</v>
      </c>
      <c r="L75" s="8">
        <v>0</v>
      </c>
      <c r="M75" s="8">
        <v>4</v>
      </c>
      <c r="N75" s="8">
        <v>5</v>
      </c>
      <c r="O75" s="8">
        <v>0</v>
      </c>
      <c r="P75" s="8"/>
      <c r="Q75" s="8">
        <v>100</v>
      </c>
      <c r="R75" s="9"/>
      <c r="S75" s="9">
        <v>45290</v>
      </c>
    </row>
    <row r="76" spans="1:19" s="6" customFormat="1" ht="16.75" customHeight="1" x14ac:dyDescent="0.2">
      <c r="A76" s="7" t="s">
        <v>23</v>
      </c>
      <c r="B76" s="8">
        <v>1654</v>
      </c>
      <c r="C76" s="9">
        <v>45810</v>
      </c>
      <c r="D76" s="7" t="s">
        <v>155</v>
      </c>
      <c r="E76" s="7" t="s">
        <v>59</v>
      </c>
      <c r="F76" s="7" t="s">
        <v>156</v>
      </c>
      <c r="G76" s="10">
        <v>816</v>
      </c>
      <c r="H76" s="8">
        <v>1525</v>
      </c>
      <c r="I76" s="8">
        <v>0</v>
      </c>
      <c r="J76" s="8">
        <v>20</v>
      </c>
      <c r="K76" s="8">
        <v>25</v>
      </c>
      <c r="L76" s="8">
        <v>75</v>
      </c>
      <c r="M76" s="8">
        <v>4</v>
      </c>
      <c r="N76" s="8">
        <v>5</v>
      </c>
      <c r="O76" s="8">
        <v>0</v>
      </c>
      <c r="P76" s="8"/>
      <c r="Q76" s="8">
        <v>100</v>
      </c>
      <c r="R76" s="9"/>
      <c r="S76" s="9">
        <v>45446</v>
      </c>
    </row>
    <row r="77" spans="1:19" s="6" customFormat="1" ht="16.75" customHeight="1" x14ac:dyDescent="0.2">
      <c r="A77" s="7" t="s">
        <v>23</v>
      </c>
      <c r="B77" s="8">
        <v>1454</v>
      </c>
      <c r="C77" s="9">
        <v>45571</v>
      </c>
      <c r="D77" s="7" t="s">
        <v>157</v>
      </c>
      <c r="E77" s="7" t="s">
        <v>59</v>
      </c>
      <c r="F77" s="7" t="s">
        <v>158</v>
      </c>
      <c r="G77" s="10">
        <v>816</v>
      </c>
      <c r="H77" s="8">
        <v>1400</v>
      </c>
      <c r="I77" s="8">
        <v>0</v>
      </c>
      <c r="J77" s="8">
        <v>20</v>
      </c>
      <c r="K77" s="8">
        <v>25</v>
      </c>
      <c r="L77" s="8">
        <v>0</v>
      </c>
      <c r="M77" s="8">
        <v>4</v>
      </c>
      <c r="N77" s="8">
        <v>5</v>
      </c>
      <c r="O77" s="8">
        <v>0</v>
      </c>
      <c r="P77" s="8"/>
      <c r="Q77" s="8">
        <v>100</v>
      </c>
      <c r="R77" s="9"/>
      <c r="S77" s="9">
        <v>44489</v>
      </c>
    </row>
    <row r="78" spans="1:19" s="6" customFormat="1" ht="16.75" customHeight="1" x14ac:dyDescent="0.2">
      <c r="A78" s="7" t="s">
        <v>23</v>
      </c>
      <c r="B78" s="8">
        <v>1675</v>
      </c>
      <c r="C78" s="9">
        <v>45991</v>
      </c>
      <c r="D78" s="7" t="s">
        <v>159</v>
      </c>
      <c r="E78" s="7" t="s">
        <v>51</v>
      </c>
      <c r="F78" s="7" t="s">
        <v>234</v>
      </c>
      <c r="G78" s="10">
        <v>1140</v>
      </c>
      <c r="H78" s="8">
        <v>1745</v>
      </c>
      <c r="I78" s="8">
        <v>0</v>
      </c>
      <c r="J78" s="8">
        <v>20</v>
      </c>
      <c r="K78" s="8">
        <v>25</v>
      </c>
      <c r="L78" s="8">
        <v>75</v>
      </c>
      <c r="M78" s="8">
        <v>4</v>
      </c>
      <c r="N78" s="8">
        <v>5</v>
      </c>
      <c r="O78" s="8">
        <v>25</v>
      </c>
      <c r="P78" s="8"/>
      <c r="Q78" s="8">
        <v>100</v>
      </c>
      <c r="R78" s="9"/>
      <c r="S78" s="9">
        <v>44828</v>
      </c>
    </row>
    <row r="79" spans="1:19" s="6" customFormat="1" ht="16.75" customHeight="1" x14ac:dyDescent="0.2">
      <c r="A79" s="7" t="s">
        <v>23</v>
      </c>
      <c r="B79" s="8">
        <v>1755</v>
      </c>
      <c r="C79" s="9">
        <v>45869</v>
      </c>
      <c r="D79" s="7" t="s">
        <v>160</v>
      </c>
      <c r="E79" s="7" t="s">
        <v>59</v>
      </c>
      <c r="F79" s="7" t="s">
        <v>161</v>
      </c>
      <c r="G79" s="10">
        <v>917</v>
      </c>
      <c r="H79" s="8">
        <v>1650</v>
      </c>
      <c r="I79" s="8">
        <v>15</v>
      </c>
      <c r="J79" s="8">
        <v>20</v>
      </c>
      <c r="K79" s="8">
        <v>25</v>
      </c>
      <c r="L79" s="8">
        <v>0</v>
      </c>
      <c r="M79" s="8">
        <v>10</v>
      </c>
      <c r="N79" s="8">
        <v>0</v>
      </c>
      <c r="O79" s="8">
        <v>0</v>
      </c>
      <c r="P79" s="8"/>
      <c r="Q79" s="8">
        <v>100</v>
      </c>
      <c r="R79" s="9"/>
      <c r="S79" s="9">
        <v>45128</v>
      </c>
    </row>
    <row r="80" spans="1:19" s="6" customFormat="1" ht="16.75" customHeight="1" x14ac:dyDescent="0.2">
      <c r="A80" s="7" t="s">
        <v>80</v>
      </c>
      <c r="B80" s="8"/>
      <c r="C80" s="9"/>
      <c r="D80" s="7" t="s">
        <v>162</v>
      </c>
      <c r="E80" s="7" t="s">
        <v>51</v>
      </c>
      <c r="F80" s="15"/>
      <c r="G80" s="10">
        <v>1291</v>
      </c>
      <c r="H80" s="8"/>
      <c r="I80" s="8"/>
      <c r="J80" s="8"/>
      <c r="K80" s="8"/>
      <c r="L80" s="8"/>
      <c r="M80" s="8"/>
      <c r="N80" s="8"/>
      <c r="O80" s="8"/>
      <c r="P80" s="8"/>
      <c r="Q80" s="8">
        <v>0</v>
      </c>
      <c r="R80" s="9"/>
      <c r="S80" s="9"/>
    </row>
    <row r="81" spans="1:19" s="6" customFormat="1" ht="16.75" customHeight="1" x14ac:dyDescent="0.2">
      <c r="A81" s="7" t="s">
        <v>23</v>
      </c>
      <c r="B81" s="8">
        <v>1909</v>
      </c>
      <c r="C81" s="9">
        <v>45573</v>
      </c>
      <c r="D81" s="7" t="s">
        <v>163</v>
      </c>
      <c r="E81" s="7" t="s">
        <v>51</v>
      </c>
      <c r="F81" s="7" t="s">
        <v>164</v>
      </c>
      <c r="G81" s="10">
        <v>1291</v>
      </c>
      <c r="H81" s="8">
        <v>1805</v>
      </c>
      <c r="I81" s="8">
        <v>0</v>
      </c>
      <c r="J81" s="8">
        <v>20</v>
      </c>
      <c r="K81" s="8">
        <v>25</v>
      </c>
      <c r="L81" s="8">
        <v>0</v>
      </c>
      <c r="M81" s="8">
        <v>4</v>
      </c>
      <c r="N81" s="8">
        <v>5</v>
      </c>
      <c r="O81" s="8">
        <v>50</v>
      </c>
      <c r="P81" s="8"/>
      <c r="Q81" s="8">
        <v>100</v>
      </c>
      <c r="R81" s="9"/>
      <c r="S81" s="9">
        <v>45178</v>
      </c>
    </row>
    <row r="82" spans="1:19" s="6" customFormat="1" ht="16.75" customHeight="1" x14ac:dyDescent="0.2">
      <c r="A82" s="7" t="s">
        <v>23</v>
      </c>
      <c r="B82" s="8">
        <v>1399</v>
      </c>
      <c r="C82" s="9">
        <v>45930</v>
      </c>
      <c r="D82" s="7" t="s">
        <v>165</v>
      </c>
      <c r="E82" s="7" t="s">
        <v>51</v>
      </c>
      <c r="F82" s="15" t="s">
        <v>213</v>
      </c>
      <c r="G82" s="10">
        <v>1165</v>
      </c>
      <c r="H82" s="8"/>
      <c r="I82" s="8"/>
      <c r="J82" s="8"/>
      <c r="K82" s="8"/>
      <c r="L82" s="8"/>
      <c r="M82" s="8"/>
      <c r="N82" s="8"/>
      <c r="O82" s="8"/>
      <c r="P82" s="8"/>
      <c r="Q82" s="8">
        <v>0</v>
      </c>
      <c r="R82" s="9"/>
      <c r="S82" s="9"/>
    </row>
    <row r="83" spans="1:19" s="6" customFormat="1" ht="16.75" customHeight="1" x14ac:dyDescent="0.2">
      <c r="A83" s="7" t="s">
        <v>227</v>
      </c>
      <c r="B83" s="8">
        <v>2229</v>
      </c>
      <c r="C83" s="9">
        <v>45844</v>
      </c>
      <c r="D83" s="7" t="s">
        <v>166</v>
      </c>
      <c r="E83" s="7" t="s">
        <v>54</v>
      </c>
      <c r="F83" s="7" t="s">
        <v>167</v>
      </c>
      <c r="G83" s="10">
        <v>1447</v>
      </c>
      <c r="H83" s="8">
        <v>2125</v>
      </c>
      <c r="I83" s="8">
        <v>0</v>
      </c>
      <c r="J83" s="8">
        <v>30</v>
      </c>
      <c r="K83" s="8">
        <v>20</v>
      </c>
      <c r="L83" s="8">
        <v>0</v>
      </c>
      <c r="M83" s="8">
        <v>4</v>
      </c>
      <c r="N83" s="8">
        <v>0</v>
      </c>
      <c r="O83" s="8">
        <v>50</v>
      </c>
      <c r="P83" s="8"/>
      <c r="Q83" s="8">
        <v>100</v>
      </c>
      <c r="R83" s="9"/>
      <c r="S83" s="9">
        <v>45478</v>
      </c>
    </row>
    <row r="84" spans="1:19" s="6" customFormat="1" ht="16.75" customHeight="1" x14ac:dyDescent="0.2">
      <c r="A84" s="7" t="s">
        <v>23</v>
      </c>
      <c r="B84" s="8">
        <v>2050</v>
      </c>
      <c r="C84" s="9">
        <v>45785</v>
      </c>
      <c r="D84" s="7" t="s">
        <v>168</v>
      </c>
      <c r="E84" s="7" t="s">
        <v>51</v>
      </c>
      <c r="F84" s="7" t="s">
        <v>169</v>
      </c>
      <c r="G84" s="10">
        <v>1140</v>
      </c>
      <c r="H84" s="8">
        <v>1870</v>
      </c>
      <c r="I84" s="8">
        <v>15</v>
      </c>
      <c r="J84" s="8">
        <v>20</v>
      </c>
      <c r="K84" s="8">
        <v>25</v>
      </c>
      <c r="L84" s="8">
        <v>75</v>
      </c>
      <c r="M84" s="8">
        <v>10</v>
      </c>
      <c r="N84" s="8">
        <v>0</v>
      </c>
      <c r="O84" s="8">
        <v>0</v>
      </c>
      <c r="P84" s="8"/>
      <c r="Q84" s="8">
        <v>100</v>
      </c>
      <c r="R84" s="9"/>
      <c r="S84" s="9">
        <v>45115</v>
      </c>
    </row>
    <row r="85" spans="1:19" s="6" customFormat="1" ht="16.75" customHeight="1" x14ac:dyDescent="0.2">
      <c r="A85" s="7" t="s">
        <v>29</v>
      </c>
      <c r="B85" s="8">
        <v>1577</v>
      </c>
      <c r="C85" s="9">
        <v>46081</v>
      </c>
      <c r="D85" s="7" t="s">
        <v>170</v>
      </c>
      <c r="E85" s="7" t="s">
        <v>59</v>
      </c>
      <c r="F85" s="7" t="s">
        <v>231</v>
      </c>
      <c r="G85" s="10">
        <v>917</v>
      </c>
      <c r="H85" s="8">
        <v>1700</v>
      </c>
      <c r="I85" s="8">
        <v>0</v>
      </c>
      <c r="J85" s="8">
        <v>20</v>
      </c>
      <c r="K85" s="8">
        <v>25</v>
      </c>
      <c r="L85" s="8">
        <v>75</v>
      </c>
      <c r="M85" s="8">
        <v>4</v>
      </c>
      <c r="N85" s="8">
        <v>5</v>
      </c>
      <c r="O85" s="8">
        <v>0</v>
      </c>
      <c r="P85" s="8"/>
      <c r="Q85" s="8">
        <v>100</v>
      </c>
      <c r="R85" s="9"/>
      <c r="S85" s="9">
        <v>45313</v>
      </c>
    </row>
    <row r="86" spans="1:19" s="6" customFormat="1" ht="16.75" customHeight="1" x14ac:dyDescent="0.2">
      <c r="A86" s="7" t="s">
        <v>80</v>
      </c>
      <c r="B86" s="8">
        <v>1367</v>
      </c>
      <c r="C86" s="9">
        <v>46072</v>
      </c>
      <c r="D86" s="7" t="s">
        <v>171</v>
      </c>
      <c r="E86" s="7" t="s">
        <v>59</v>
      </c>
      <c r="F86" s="7" t="s">
        <v>232</v>
      </c>
      <c r="G86" s="10">
        <v>816</v>
      </c>
      <c r="H86" s="8">
        <v>1600</v>
      </c>
      <c r="I86" s="8">
        <v>0</v>
      </c>
      <c r="J86" s="8">
        <v>20</v>
      </c>
      <c r="K86" s="8">
        <v>25</v>
      </c>
      <c r="L86" s="8">
        <v>0</v>
      </c>
      <c r="M86" s="8">
        <v>4</v>
      </c>
      <c r="N86" s="8">
        <v>5</v>
      </c>
      <c r="O86" s="8">
        <v>25</v>
      </c>
      <c r="P86" s="8"/>
      <c r="Q86" s="8">
        <v>100</v>
      </c>
      <c r="R86" s="9"/>
      <c r="S86" s="9">
        <v>45184</v>
      </c>
    </row>
    <row r="87" spans="1:19" s="6" customFormat="1" ht="16.75" customHeight="1" x14ac:dyDescent="0.2">
      <c r="A87" s="7" t="s">
        <v>23</v>
      </c>
      <c r="B87" s="8">
        <v>1175</v>
      </c>
      <c r="C87" s="9">
        <v>45930</v>
      </c>
      <c r="D87" s="7" t="s">
        <v>172</v>
      </c>
      <c r="E87" s="7" t="s">
        <v>59</v>
      </c>
      <c r="F87" s="7" t="s">
        <v>173</v>
      </c>
      <c r="G87" s="10">
        <v>816</v>
      </c>
      <c r="H87" s="8">
        <v>1100</v>
      </c>
      <c r="I87" s="8">
        <v>20</v>
      </c>
      <c r="J87" s="8">
        <v>20</v>
      </c>
      <c r="K87" s="8">
        <v>25</v>
      </c>
      <c r="L87" s="8">
        <v>0</v>
      </c>
      <c r="M87" s="8">
        <v>10</v>
      </c>
      <c r="N87" s="8">
        <v>0</v>
      </c>
      <c r="O87" s="8">
        <v>0</v>
      </c>
      <c r="P87" s="8"/>
      <c r="Q87" s="8">
        <v>0</v>
      </c>
      <c r="R87" s="9"/>
      <c r="S87" s="9">
        <v>45536</v>
      </c>
    </row>
    <row r="88" spans="1:19" s="6" customFormat="1" ht="16.75" customHeight="1" x14ac:dyDescent="0.2">
      <c r="A88" s="14" t="s">
        <v>23</v>
      </c>
      <c r="B88" s="8">
        <v>1375</v>
      </c>
      <c r="C88" s="9">
        <v>45930</v>
      </c>
      <c r="D88" s="7" t="s">
        <v>174</v>
      </c>
      <c r="E88" s="7" t="s">
        <v>51</v>
      </c>
      <c r="F88" s="16" t="s">
        <v>214</v>
      </c>
      <c r="G88" s="10">
        <v>1140</v>
      </c>
      <c r="H88" s="8"/>
      <c r="I88" s="8"/>
      <c r="J88" s="8"/>
      <c r="K88" s="8"/>
      <c r="L88" s="8"/>
      <c r="M88" s="8"/>
      <c r="N88" s="8"/>
      <c r="O88" s="8"/>
      <c r="P88" s="8"/>
      <c r="Q88" s="8">
        <v>0</v>
      </c>
      <c r="R88" s="9"/>
      <c r="S88" s="9"/>
    </row>
    <row r="89" spans="1:19" s="6" customFormat="1" ht="16.75" customHeight="1" x14ac:dyDescent="0.2">
      <c r="A89" s="7" t="s">
        <v>23</v>
      </c>
      <c r="B89" s="8">
        <v>1909</v>
      </c>
      <c r="C89" s="9">
        <v>45869</v>
      </c>
      <c r="D89" s="7" t="s">
        <v>175</v>
      </c>
      <c r="E89" s="7" t="s">
        <v>51</v>
      </c>
      <c r="F89" s="7" t="s">
        <v>176</v>
      </c>
      <c r="G89" s="10">
        <v>1140</v>
      </c>
      <c r="H89" s="8">
        <v>1780</v>
      </c>
      <c r="I89" s="8">
        <v>0</v>
      </c>
      <c r="J89" s="8">
        <v>20</v>
      </c>
      <c r="K89" s="8">
        <v>25</v>
      </c>
      <c r="L89" s="8">
        <v>75</v>
      </c>
      <c r="M89" s="8">
        <v>4</v>
      </c>
      <c r="N89" s="8">
        <v>5</v>
      </c>
      <c r="O89" s="8">
        <v>0</v>
      </c>
      <c r="P89" s="8"/>
      <c r="Q89" s="8">
        <v>100</v>
      </c>
      <c r="R89" s="9"/>
      <c r="S89" s="9">
        <v>44513</v>
      </c>
    </row>
    <row r="90" spans="1:19" s="6" customFormat="1" ht="16.75" customHeight="1" x14ac:dyDescent="0.2">
      <c r="A90" s="7" t="s">
        <v>23</v>
      </c>
      <c r="B90" s="8">
        <v>1444</v>
      </c>
      <c r="C90" s="9">
        <v>45869</v>
      </c>
      <c r="D90" s="7" t="s">
        <v>177</v>
      </c>
      <c r="E90" s="7" t="s">
        <v>70</v>
      </c>
      <c r="F90" s="7" t="s">
        <v>178</v>
      </c>
      <c r="G90" s="10">
        <v>688</v>
      </c>
      <c r="H90" s="8">
        <v>1299</v>
      </c>
      <c r="I90" s="8">
        <v>15</v>
      </c>
      <c r="J90" s="8">
        <v>20</v>
      </c>
      <c r="K90" s="8">
        <v>25</v>
      </c>
      <c r="L90" s="8">
        <v>75</v>
      </c>
      <c r="M90" s="8">
        <v>10</v>
      </c>
      <c r="N90" s="8">
        <v>0</v>
      </c>
      <c r="O90" s="8">
        <v>0</v>
      </c>
      <c r="P90" s="8"/>
      <c r="Q90" s="8">
        <v>650</v>
      </c>
      <c r="R90" s="9"/>
      <c r="S90" s="9">
        <v>45505</v>
      </c>
    </row>
    <row r="91" spans="1:19" s="6" customFormat="1" ht="16.75" customHeight="1" x14ac:dyDescent="0.2">
      <c r="A91" s="7" t="s">
        <v>23</v>
      </c>
      <c r="B91" s="8">
        <v>1125</v>
      </c>
      <c r="C91" s="9">
        <v>45930</v>
      </c>
      <c r="D91" s="7" t="s">
        <v>179</v>
      </c>
      <c r="E91" s="7" t="s">
        <v>70</v>
      </c>
      <c r="F91" s="7" t="s">
        <v>180</v>
      </c>
      <c r="G91" s="10">
        <v>688</v>
      </c>
      <c r="H91" s="8">
        <v>1050</v>
      </c>
      <c r="I91" s="8">
        <v>20</v>
      </c>
      <c r="J91" s="8">
        <v>20</v>
      </c>
      <c r="K91" s="8">
        <v>25</v>
      </c>
      <c r="L91" s="8">
        <v>0</v>
      </c>
      <c r="M91" s="8">
        <v>10</v>
      </c>
      <c r="N91" s="8">
        <v>0</v>
      </c>
      <c r="O91" s="8">
        <v>0</v>
      </c>
      <c r="P91" s="8"/>
      <c r="Q91" s="8">
        <v>525</v>
      </c>
      <c r="R91" s="9"/>
      <c r="S91" s="9">
        <v>45536</v>
      </c>
    </row>
    <row r="92" spans="1:19" s="6" customFormat="1" ht="16.75" customHeight="1" x14ac:dyDescent="0.2">
      <c r="A92" s="7" t="s">
        <v>29</v>
      </c>
      <c r="B92" s="8">
        <v>1445</v>
      </c>
      <c r="C92" s="9">
        <v>45655</v>
      </c>
      <c r="D92" s="7" t="s">
        <v>181</v>
      </c>
      <c r="E92" s="7" t="s">
        <v>70</v>
      </c>
      <c r="F92" s="7" t="s">
        <v>233</v>
      </c>
      <c r="G92" s="10">
        <v>688</v>
      </c>
      <c r="H92" s="8">
        <v>1350</v>
      </c>
      <c r="I92" s="8">
        <v>0</v>
      </c>
      <c r="J92" s="8">
        <v>20</v>
      </c>
      <c r="K92" s="8">
        <v>25</v>
      </c>
      <c r="L92" s="8">
        <v>0</v>
      </c>
      <c r="M92" s="8">
        <v>4</v>
      </c>
      <c r="N92" s="8">
        <v>5</v>
      </c>
      <c r="O92" s="8">
        <v>0</v>
      </c>
      <c r="P92" s="8"/>
      <c r="Q92" s="8">
        <v>524.5</v>
      </c>
      <c r="R92" s="9"/>
      <c r="S92" s="9">
        <v>44494</v>
      </c>
    </row>
    <row r="93" spans="1:19" s="6" customFormat="1" ht="16.75" customHeight="1" x14ac:dyDescent="0.2">
      <c r="A93" s="7" t="s">
        <v>229</v>
      </c>
      <c r="B93" s="8">
        <v>1469</v>
      </c>
      <c r="C93" s="9">
        <v>45662</v>
      </c>
      <c r="D93" s="7" t="s">
        <v>182</v>
      </c>
      <c r="E93" s="7" t="s">
        <v>70</v>
      </c>
      <c r="F93" s="7" t="s">
        <v>183</v>
      </c>
      <c r="G93" s="10">
        <v>688</v>
      </c>
      <c r="H93" s="8">
        <v>1390</v>
      </c>
      <c r="I93" s="8">
        <v>0</v>
      </c>
      <c r="J93" s="8">
        <v>20</v>
      </c>
      <c r="K93" s="8">
        <v>25</v>
      </c>
      <c r="L93" s="8">
        <v>0</v>
      </c>
      <c r="M93" s="8">
        <v>4</v>
      </c>
      <c r="N93" s="8">
        <v>5</v>
      </c>
      <c r="O93" s="8">
        <v>25</v>
      </c>
      <c r="P93" s="8"/>
      <c r="Q93" s="8">
        <v>100</v>
      </c>
      <c r="R93" s="9"/>
      <c r="S93" s="9">
        <v>44874</v>
      </c>
    </row>
    <row r="94" spans="1:19" s="6" customFormat="1" ht="16.75" customHeight="1" x14ac:dyDescent="0.2">
      <c r="A94" s="7" t="s">
        <v>23</v>
      </c>
      <c r="B94" s="8">
        <v>1269</v>
      </c>
      <c r="C94" s="9">
        <v>45852</v>
      </c>
      <c r="D94" s="7" t="s">
        <v>184</v>
      </c>
      <c r="E94" s="7" t="s">
        <v>70</v>
      </c>
      <c r="F94" s="7" t="s">
        <v>185</v>
      </c>
      <c r="G94" s="10">
        <v>640</v>
      </c>
      <c r="H94" s="8">
        <v>1199</v>
      </c>
      <c r="I94" s="8">
        <v>15</v>
      </c>
      <c r="J94" s="8">
        <v>20</v>
      </c>
      <c r="K94" s="8">
        <v>25</v>
      </c>
      <c r="L94" s="8">
        <v>0</v>
      </c>
      <c r="M94" s="8">
        <v>10</v>
      </c>
      <c r="N94" s="8">
        <v>0</v>
      </c>
      <c r="O94" s="8">
        <v>0</v>
      </c>
      <c r="P94" s="8"/>
      <c r="Q94" s="8">
        <v>647.25</v>
      </c>
      <c r="R94" s="9"/>
      <c r="S94" s="9">
        <v>45488</v>
      </c>
    </row>
    <row r="95" spans="1:19" s="6" customFormat="1" ht="16.75" customHeight="1" x14ac:dyDescent="0.2">
      <c r="A95" s="7" t="s">
        <v>23</v>
      </c>
      <c r="B95" s="8">
        <v>1267</v>
      </c>
      <c r="C95" s="9">
        <v>45599</v>
      </c>
      <c r="D95" s="7" t="s">
        <v>186</v>
      </c>
      <c r="E95" s="7" t="s">
        <v>70</v>
      </c>
      <c r="F95" s="7" t="s">
        <v>187</v>
      </c>
      <c r="G95" s="10">
        <v>640</v>
      </c>
      <c r="H95" s="8">
        <v>1213</v>
      </c>
      <c r="I95" s="8">
        <v>0</v>
      </c>
      <c r="J95" s="8">
        <v>20</v>
      </c>
      <c r="K95" s="8">
        <v>25</v>
      </c>
      <c r="L95" s="8">
        <v>0</v>
      </c>
      <c r="M95" s="8">
        <v>4</v>
      </c>
      <c r="N95" s="8">
        <v>5</v>
      </c>
      <c r="O95" s="8">
        <v>0</v>
      </c>
      <c r="P95" s="8"/>
      <c r="Q95" s="8">
        <v>100</v>
      </c>
      <c r="R95" s="9"/>
      <c r="S95" s="9">
        <v>44472</v>
      </c>
    </row>
    <row r="96" spans="1:19" s="6" customFormat="1" ht="16.75" customHeight="1" x14ac:dyDescent="0.2">
      <c r="A96" s="7" t="s">
        <v>23</v>
      </c>
      <c r="B96" s="8">
        <v>1574</v>
      </c>
      <c r="C96" s="9">
        <v>45897</v>
      </c>
      <c r="D96" s="7" t="s">
        <v>188</v>
      </c>
      <c r="E96" s="7" t="s">
        <v>59</v>
      </c>
      <c r="F96" s="7" t="s">
        <v>189</v>
      </c>
      <c r="G96" s="10">
        <v>1009</v>
      </c>
      <c r="H96" s="8">
        <v>1504</v>
      </c>
      <c r="I96" s="8">
        <v>15</v>
      </c>
      <c r="J96" s="8">
        <v>20</v>
      </c>
      <c r="K96" s="8">
        <v>25</v>
      </c>
      <c r="L96" s="8">
        <v>0</v>
      </c>
      <c r="M96" s="8">
        <v>10</v>
      </c>
      <c r="N96" s="8">
        <v>0</v>
      </c>
      <c r="O96" s="8">
        <v>0</v>
      </c>
      <c r="P96" s="8"/>
      <c r="Q96" s="8">
        <v>777</v>
      </c>
      <c r="R96" s="9"/>
      <c r="S96" s="9">
        <v>45502</v>
      </c>
    </row>
    <row r="97" spans="1:19" s="6" customFormat="1" ht="16.75" customHeight="1" x14ac:dyDescent="0.2">
      <c r="A97" s="7" t="s">
        <v>229</v>
      </c>
      <c r="B97" s="8">
        <v>1914</v>
      </c>
      <c r="C97" s="9">
        <v>45676</v>
      </c>
      <c r="D97" s="7" t="s">
        <v>190</v>
      </c>
      <c r="E97" s="7" t="s">
        <v>51</v>
      </c>
      <c r="F97" s="7" t="s">
        <v>191</v>
      </c>
      <c r="G97" s="10">
        <v>1223</v>
      </c>
      <c r="H97" s="8">
        <v>1860</v>
      </c>
      <c r="I97" s="8">
        <v>0</v>
      </c>
      <c r="J97" s="8">
        <v>20</v>
      </c>
      <c r="K97" s="8">
        <v>25</v>
      </c>
      <c r="L97" s="8">
        <v>0</v>
      </c>
      <c r="M97" s="8">
        <v>4</v>
      </c>
      <c r="N97" s="8">
        <v>5</v>
      </c>
      <c r="O97" s="8">
        <v>0</v>
      </c>
      <c r="P97" s="8"/>
      <c r="Q97" s="8">
        <v>100</v>
      </c>
      <c r="R97" s="9"/>
      <c r="S97" s="9">
        <v>45314</v>
      </c>
    </row>
    <row r="98" spans="1:19" s="6" customFormat="1" ht="16.75" customHeight="1" x14ac:dyDescent="0.2">
      <c r="A98" s="7" t="s">
        <v>23</v>
      </c>
      <c r="B98" s="8">
        <v>1190</v>
      </c>
      <c r="C98" s="9">
        <v>45947</v>
      </c>
      <c r="D98" s="7" t="s">
        <v>192</v>
      </c>
      <c r="E98" s="7" t="s">
        <v>193</v>
      </c>
      <c r="F98" s="7" t="s">
        <v>221</v>
      </c>
      <c r="G98" s="10">
        <v>640</v>
      </c>
      <c r="H98" s="8">
        <v>999</v>
      </c>
      <c r="I98" s="8">
        <v>20</v>
      </c>
      <c r="J98" s="8">
        <v>20</v>
      </c>
      <c r="K98" s="8">
        <v>0</v>
      </c>
      <c r="L98" s="8">
        <v>0</v>
      </c>
      <c r="M98" s="8">
        <v>10</v>
      </c>
      <c r="N98" s="8">
        <v>25</v>
      </c>
      <c r="O98" s="8">
        <v>0</v>
      </c>
      <c r="P98" s="8"/>
      <c r="Q98" s="8">
        <v>500</v>
      </c>
      <c r="R98" s="9"/>
      <c r="S98" s="9">
        <v>45565</v>
      </c>
    </row>
    <row r="99" spans="1:19" s="6" customFormat="1" ht="16.75" customHeight="1" x14ac:dyDescent="0.2">
      <c r="A99" s="14" t="s">
        <v>216</v>
      </c>
      <c r="B99" s="8"/>
      <c r="C99" s="9"/>
      <c r="D99" s="14" t="s">
        <v>194</v>
      </c>
      <c r="E99" s="7" t="s">
        <v>59</v>
      </c>
      <c r="F99" s="7"/>
      <c r="G99" s="10">
        <v>640</v>
      </c>
      <c r="H99" s="8">
        <v>1300</v>
      </c>
      <c r="I99" s="8">
        <v>0</v>
      </c>
      <c r="J99" s="8">
        <v>20</v>
      </c>
      <c r="K99" s="8">
        <v>25</v>
      </c>
      <c r="L99" s="8">
        <v>0</v>
      </c>
      <c r="M99" s="8">
        <v>4</v>
      </c>
      <c r="N99" s="8">
        <v>5</v>
      </c>
      <c r="O99" s="8">
        <v>0</v>
      </c>
      <c r="P99" s="8"/>
      <c r="Q99" s="8">
        <v>100</v>
      </c>
      <c r="R99" s="9"/>
      <c r="S99" s="9">
        <v>44800</v>
      </c>
    </row>
    <row r="100" spans="1:19" s="6" customFormat="1" ht="16.75" customHeight="1" x14ac:dyDescent="0.2">
      <c r="A100" s="7" t="s">
        <v>227</v>
      </c>
      <c r="B100" s="8">
        <v>1250</v>
      </c>
      <c r="C100" s="9">
        <v>45942</v>
      </c>
      <c r="D100" s="7" t="s">
        <v>195</v>
      </c>
      <c r="E100" s="7" t="s">
        <v>59</v>
      </c>
      <c r="F100" s="7" t="s">
        <v>226</v>
      </c>
      <c r="G100" s="10">
        <v>688</v>
      </c>
      <c r="H100" s="8">
        <v>1410</v>
      </c>
      <c r="I100" s="8">
        <v>0</v>
      </c>
      <c r="J100" s="8">
        <v>20</v>
      </c>
      <c r="K100" s="8">
        <v>25</v>
      </c>
      <c r="L100" s="8">
        <v>0</v>
      </c>
      <c r="M100" s="8">
        <v>4</v>
      </c>
      <c r="N100" s="8">
        <v>5</v>
      </c>
      <c r="O100" s="8">
        <v>0</v>
      </c>
      <c r="P100" s="8"/>
      <c r="Q100" s="8">
        <v>100</v>
      </c>
      <c r="R100" s="9"/>
      <c r="S100" s="9">
        <v>44835</v>
      </c>
    </row>
    <row r="101" spans="1:19" s="6" customFormat="1" ht="16.75" customHeight="1" x14ac:dyDescent="0.2">
      <c r="A101" s="7" t="s">
        <v>23</v>
      </c>
      <c r="B101" s="8">
        <v>1564</v>
      </c>
      <c r="C101" s="9">
        <v>45844</v>
      </c>
      <c r="D101" s="7" t="s">
        <v>196</v>
      </c>
      <c r="E101" s="7" t="s">
        <v>59</v>
      </c>
      <c r="F101" s="7" t="s">
        <v>197</v>
      </c>
      <c r="G101" s="10">
        <v>688</v>
      </c>
      <c r="H101" s="8">
        <v>1435</v>
      </c>
      <c r="I101" s="8">
        <v>0</v>
      </c>
      <c r="J101" s="8">
        <v>20</v>
      </c>
      <c r="K101" s="8">
        <v>25</v>
      </c>
      <c r="L101" s="8">
        <v>75</v>
      </c>
      <c r="M101" s="8">
        <v>4</v>
      </c>
      <c r="N101" s="8">
        <v>5</v>
      </c>
      <c r="O101" s="8">
        <v>0</v>
      </c>
      <c r="P101" s="8"/>
      <c r="Q101" s="8">
        <v>680</v>
      </c>
      <c r="R101" s="9"/>
      <c r="S101" s="9">
        <v>44751</v>
      </c>
    </row>
    <row r="102" spans="1:19" s="6" customFormat="1" ht="16.75" customHeight="1" x14ac:dyDescent="0.2">
      <c r="A102" s="7" t="s">
        <v>23</v>
      </c>
      <c r="B102" s="8">
        <v>1314</v>
      </c>
      <c r="C102" s="9">
        <v>45930</v>
      </c>
      <c r="D102" s="7" t="s">
        <v>198</v>
      </c>
      <c r="E102" s="7" t="s">
        <v>59</v>
      </c>
      <c r="F102" s="7" t="s">
        <v>199</v>
      </c>
      <c r="G102" s="10">
        <v>688</v>
      </c>
      <c r="H102" s="8">
        <v>1260</v>
      </c>
      <c r="I102" s="8">
        <v>0</v>
      </c>
      <c r="J102" s="8">
        <v>20</v>
      </c>
      <c r="K102" s="8">
        <v>25</v>
      </c>
      <c r="L102" s="8">
        <v>0</v>
      </c>
      <c r="M102" s="8">
        <v>4</v>
      </c>
      <c r="N102" s="8">
        <v>5</v>
      </c>
      <c r="O102" s="8">
        <v>0</v>
      </c>
      <c r="P102" s="8"/>
      <c r="Q102" s="8">
        <v>100</v>
      </c>
      <c r="R102" s="9"/>
      <c r="S102" s="9">
        <v>44478</v>
      </c>
    </row>
    <row r="103" spans="1:19" s="6" customFormat="1" ht="16.75" customHeight="1" x14ac:dyDescent="0.2">
      <c r="A103" s="7" t="s">
        <v>23</v>
      </c>
      <c r="B103" s="8">
        <v>1277</v>
      </c>
      <c r="C103" s="9">
        <v>45991</v>
      </c>
      <c r="D103" s="7" t="s">
        <v>200</v>
      </c>
      <c r="E103" s="7" t="s">
        <v>193</v>
      </c>
      <c r="F103" s="7" t="s">
        <v>224</v>
      </c>
      <c r="G103" s="10">
        <v>688</v>
      </c>
      <c r="H103" s="8">
        <v>1299</v>
      </c>
      <c r="I103" s="8">
        <v>15</v>
      </c>
      <c r="J103" s="8">
        <v>0</v>
      </c>
      <c r="K103" s="8">
        <v>0</v>
      </c>
      <c r="L103" s="8">
        <v>0</v>
      </c>
      <c r="M103" s="8">
        <v>10</v>
      </c>
      <c r="N103" s="8">
        <v>25</v>
      </c>
      <c r="O103" s="8">
        <v>0</v>
      </c>
      <c r="P103" s="8"/>
      <c r="Q103" s="8">
        <v>650</v>
      </c>
      <c r="R103" s="9">
        <v>45505</v>
      </c>
      <c r="S103" s="9">
        <v>45450</v>
      </c>
    </row>
    <row r="104" spans="1:19" s="6" customFormat="1" ht="16.75" customHeight="1" x14ac:dyDescent="0.2">
      <c r="A104" s="7" t="s">
        <v>29</v>
      </c>
      <c r="B104" s="8">
        <v>1847</v>
      </c>
      <c r="C104" s="9">
        <v>46010</v>
      </c>
      <c r="D104" s="7" t="s">
        <v>201</v>
      </c>
      <c r="E104" s="7" t="s">
        <v>51</v>
      </c>
      <c r="F104" s="7" t="s">
        <v>225</v>
      </c>
      <c r="G104" s="10">
        <v>1140</v>
      </c>
      <c r="H104" s="8">
        <v>1795</v>
      </c>
      <c r="I104" s="8">
        <v>0</v>
      </c>
      <c r="J104" s="8">
        <v>20</v>
      </c>
      <c r="K104" s="8">
        <v>25</v>
      </c>
      <c r="L104" s="8">
        <v>75</v>
      </c>
      <c r="M104" s="8">
        <v>4</v>
      </c>
      <c r="N104" s="8">
        <v>5</v>
      </c>
      <c r="O104" s="8">
        <v>0</v>
      </c>
      <c r="P104" s="8"/>
      <c r="Q104" s="8">
        <v>100</v>
      </c>
      <c r="R104" s="9"/>
      <c r="S104" s="9">
        <v>44842</v>
      </c>
    </row>
    <row r="105" spans="1:19" s="6" customFormat="1" ht="16.75" customHeight="1" x14ac:dyDescent="0.2">
      <c r="A105" s="7" t="s">
        <v>23</v>
      </c>
      <c r="B105" s="8">
        <v>1375</v>
      </c>
      <c r="C105" s="9">
        <v>45930</v>
      </c>
      <c r="D105" s="7" t="s">
        <v>202</v>
      </c>
      <c r="E105" s="14" t="s">
        <v>51</v>
      </c>
      <c r="F105" s="7" t="s">
        <v>203</v>
      </c>
      <c r="G105" s="10">
        <v>1140</v>
      </c>
      <c r="H105" s="8">
        <v>1375</v>
      </c>
      <c r="I105" s="8">
        <v>20</v>
      </c>
      <c r="J105" s="8">
        <v>20</v>
      </c>
      <c r="K105" s="8">
        <v>25</v>
      </c>
      <c r="L105" s="8">
        <v>0</v>
      </c>
      <c r="M105" s="8">
        <v>10</v>
      </c>
      <c r="N105" s="8">
        <v>0</v>
      </c>
      <c r="O105" s="8">
        <v>0</v>
      </c>
      <c r="P105" s="8"/>
      <c r="Q105" s="8">
        <v>687.5</v>
      </c>
      <c r="R105" s="9"/>
      <c r="S105" s="9">
        <v>45536</v>
      </c>
    </row>
    <row r="106" spans="1:19" s="6" customFormat="1" ht="16.75" customHeight="1" x14ac:dyDescent="0.2">
      <c r="A106" s="14" t="s">
        <v>23</v>
      </c>
      <c r="B106" s="8">
        <v>1100</v>
      </c>
      <c r="C106" s="9">
        <v>45930</v>
      </c>
      <c r="D106" s="7" t="s">
        <v>204</v>
      </c>
      <c r="E106" s="7" t="s">
        <v>59</v>
      </c>
      <c r="F106" s="17" t="s">
        <v>220</v>
      </c>
      <c r="G106" s="10">
        <v>816</v>
      </c>
      <c r="H106" s="8">
        <v>1575</v>
      </c>
      <c r="I106" s="8">
        <v>0</v>
      </c>
      <c r="J106" s="8">
        <v>20</v>
      </c>
      <c r="K106" s="8">
        <v>25</v>
      </c>
      <c r="L106" s="8">
        <v>0</v>
      </c>
      <c r="M106" s="8">
        <v>4</v>
      </c>
      <c r="N106" s="8">
        <v>5</v>
      </c>
      <c r="O106" s="8">
        <v>0</v>
      </c>
      <c r="P106" s="8"/>
      <c r="Q106" s="8">
        <v>100</v>
      </c>
      <c r="R106" s="9"/>
      <c r="S106" s="9">
        <v>44779</v>
      </c>
    </row>
    <row r="107" spans="1:19" s="6" customFormat="1" ht="16.75" customHeight="1" x14ac:dyDescent="0.2">
      <c r="A107" s="7" t="s">
        <v>23</v>
      </c>
      <c r="B107" s="8">
        <v>1629</v>
      </c>
      <c r="C107" s="9">
        <v>45928</v>
      </c>
      <c r="D107" s="7" t="s">
        <v>205</v>
      </c>
      <c r="E107" s="7" t="s">
        <v>59</v>
      </c>
      <c r="F107" s="7" t="s">
        <v>206</v>
      </c>
      <c r="G107" s="10">
        <v>816</v>
      </c>
      <c r="H107" s="8">
        <v>1500</v>
      </c>
      <c r="I107" s="8">
        <v>0</v>
      </c>
      <c r="J107" s="8">
        <v>20</v>
      </c>
      <c r="K107" s="8">
        <v>25</v>
      </c>
      <c r="L107" s="8">
        <v>75</v>
      </c>
      <c r="M107" s="8">
        <v>4</v>
      </c>
      <c r="N107" s="8">
        <v>5</v>
      </c>
      <c r="O107" s="8">
        <v>0</v>
      </c>
      <c r="P107" s="8"/>
      <c r="Q107" s="8">
        <v>100</v>
      </c>
      <c r="R107" s="9"/>
      <c r="S107" s="9">
        <v>45131</v>
      </c>
    </row>
    <row r="108" spans="1:19" s="6" customFormat="1" ht="16.75" customHeight="1" x14ac:dyDescent="0.2">
      <c r="A108" s="14" t="s">
        <v>23</v>
      </c>
      <c r="B108" s="8">
        <v>1375</v>
      </c>
      <c r="C108" s="9">
        <v>45930</v>
      </c>
      <c r="D108" s="7" t="s">
        <v>207</v>
      </c>
      <c r="E108" s="7" t="s">
        <v>51</v>
      </c>
      <c r="F108" s="18" t="s">
        <v>215</v>
      </c>
      <c r="G108" s="10">
        <v>1140</v>
      </c>
      <c r="H108" s="8"/>
      <c r="I108" s="8"/>
      <c r="J108" s="8"/>
      <c r="K108" s="8"/>
      <c r="L108" s="8"/>
      <c r="M108" s="8"/>
      <c r="N108" s="8"/>
      <c r="O108" s="8"/>
      <c r="P108" s="8"/>
      <c r="Q108" s="8">
        <v>0</v>
      </c>
      <c r="R108" s="9"/>
      <c r="S108" s="9"/>
    </row>
    <row r="109" spans="1:19" s="6" customFormat="1" ht="16.75" customHeight="1" x14ac:dyDescent="0.2">
      <c r="A109" s="7" t="s">
        <v>23</v>
      </c>
      <c r="B109" s="8">
        <v>1495</v>
      </c>
      <c r="C109" s="9">
        <v>45808</v>
      </c>
      <c r="D109" s="7" t="s">
        <v>208</v>
      </c>
      <c r="E109" s="7" t="s">
        <v>59</v>
      </c>
      <c r="F109" s="7" t="s">
        <v>209</v>
      </c>
      <c r="G109" s="10">
        <v>917</v>
      </c>
      <c r="H109" s="8">
        <v>1441</v>
      </c>
      <c r="I109" s="8">
        <v>0</v>
      </c>
      <c r="J109" s="8">
        <v>20</v>
      </c>
      <c r="K109" s="8">
        <v>25</v>
      </c>
      <c r="L109" s="8">
        <v>0</v>
      </c>
      <c r="M109" s="8">
        <v>4</v>
      </c>
      <c r="N109" s="8">
        <v>5</v>
      </c>
      <c r="O109" s="8">
        <v>0</v>
      </c>
      <c r="P109" s="8"/>
      <c r="Q109" s="8">
        <v>0</v>
      </c>
      <c r="R109" s="9"/>
      <c r="S109" s="9">
        <v>45444</v>
      </c>
    </row>
    <row r="110" spans="1:19" s="6" customFormat="1" ht="16.75" customHeight="1" x14ac:dyDescent="0.2">
      <c r="A110" s="7" t="s">
        <v>235</v>
      </c>
      <c r="B110" s="8">
        <v>1600</v>
      </c>
      <c r="C110" s="9">
        <v>46024</v>
      </c>
      <c r="D110" s="7" t="s">
        <v>210</v>
      </c>
      <c r="E110" s="7" t="s">
        <v>51</v>
      </c>
      <c r="F110" s="7" t="s">
        <v>154</v>
      </c>
      <c r="G110" s="10">
        <v>1291</v>
      </c>
      <c r="H110" s="8">
        <v>1915</v>
      </c>
      <c r="I110" s="8">
        <v>0</v>
      </c>
      <c r="J110" s="8">
        <v>20</v>
      </c>
      <c r="K110" s="8">
        <v>25</v>
      </c>
      <c r="L110" s="8">
        <v>0</v>
      </c>
      <c r="M110" s="8">
        <v>4</v>
      </c>
      <c r="N110" s="8">
        <v>5</v>
      </c>
      <c r="O110" s="8">
        <v>0</v>
      </c>
      <c r="P110" s="8"/>
      <c r="Q110" s="8">
        <v>100</v>
      </c>
      <c r="R110" s="9"/>
      <c r="S110" s="9">
        <v>45384</v>
      </c>
    </row>
    <row r="111" spans="1:19" s="6" customFormat="1" ht="16.75" customHeight="1" x14ac:dyDescent="0.2">
      <c r="A111" s="7" t="s">
        <v>23</v>
      </c>
      <c r="B111" s="8">
        <v>1909</v>
      </c>
      <c r="C111" s="9">
        <v>45830</v>
      </c>
      <c r="D111" s="7" t="s">
        <v>211</v>
      </c>
      <c r="E111" s="7" t="s">
        <v>51</v>
      </c>
      <c r="F111" s="7" t="s">
        <v>212</v>
      </c>
      <c r="G111" s="10">
        <v>1291</v>
      </c>
      <c r="H111" s="8">
        <v>1855</v>
      </c>
      <c r="I111" s="8">
        <v>0</v>
      </c>
      <c r="J111" s="8">
        <v>20</v>
      </c>
      <c r="K111" s="8">
        <v>25</v>
      </c>
      <c r="L111" s="8">
        <v>0</v>
      </c>
      <c r="M111" s="8">
        <v>4</v>
      </c>
      <c r="N111" s="8">
        <v>5</v>
      </c>
      <c r="O111" s="8">
        <v>0</v>
      </c>
      <c r="P111" s="8"/>
      <c r="Q111" s="8">
        <v>902</v>
      </c>
      <c r="R111" s="9"/>
      <c r="S111" s="9">
        <v>45065</v>
      </c>
    </row>
    <row r="112" spans="1:19" s="6" customFormat="1" ht="14.5" customHeight="1" x14ac:dyDescent="0.15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</row>
    <row r="113" spans="1:19" s="6" customFormat="1" ht="14.5" customHeight="1" x14ac:dyDescent="0.15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</row>
    <row r="114" spans="1:19" s="6" customFormat="1" ht="16.75" customHeight="1" x14ac:dyDescent="0.2">
      <c r="A114" s="20" t="s">
        <v>237</v>
      </c>
      <c r="B114" s="21">
        <v>217783.75</v>
      </c>
      <c r="C114" s="22"/>
      <c r="D114" s="20" t="s">
        <v>238</v>
      </c>
      <c r="E114" s="23"/>
      <c r="F114" s="23"/>
      <c r="G114" s="24">
        <v>81712</v>
      </c>
      <c r="H114" s="21">
        <f t="shared" ref="H114:P114" si="0">SUM(H10:H111)</f>
        <v>208315.35</v>
      </c>
      <c r="I114" s="21">
        <f t="shared" si="0"/>
        <v>635</v>
      </c>
      <c r="J114" s="21">
        <f t="shared" si="0"/>
        <v>1630</v>
      </c>
      <c r="K114" s="21">
        <f t="shared" si="0"/>
        <v>2020</v>
      </c>
      <c r="L114" s="21">
        <f t="shared" si="0"/>
        <v>2950</v>
      </c>
      <c r="M114" s="21">
        <f t="shared" si="0"/>
        <v>560</v>
      </c>
      <c r="N114" s="21">
        <f t="shared" si="0"/>
        <v>380</v>
      </c>
      <c r="O114" s="21">
        <f t="shared" si="0"/>
        <v>575</v>
      </c>
      <c r="P114" s="21">
        <f t="shared" si="0"/>
        <v>150</v>
      </c>
      <c r="Q114" s="21">
        <v>28028.75</v>
      </c>
      <c r="R114" s="22"/>
      <c r="S114" s="22"/>
    </row>
    <row r="115" spans="1:19" s="6" customFormat="1" ht="16.75" customHeight="1" x14ac:dyDescent="0.2">
      <c r="A115" s="25" t="s">
        <v>239</v>
      </c>
      <c r="B115" s="21"/>
      <c r="C115" s="22"/>
      <c r="D115" s="23"/>
      <c r="E115" s="23"/>
      <c r="F115" s="23"/>
      <c r="G115" s="24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2"/>
      <c r="S115" s="22"/>
    </row>
  </sheetData>
  <mergeCells count="8">
    <mergeCell ref="A6:S6"/>
    <mergeCell ref="A7:S7"/>
    <mergeCell ref="A8:S8"/>
    <mergeCell ref="A1:S1"/>
    <mergeCell ref="A2:S2"/>
    <mergeCell ref="A3:S3"/>
    <mergeCell ref="A4:S4"/>
    <mergeCell ref="A5:S5"/>
  </mergeCells>
  <conditionalFormatting sqref="B10:B111 G10:Q111 B114:B115 G114:Q115">
    <cfRule type="cellIs" dxfId="0" priority="1" stopIfTrue="1" operator="lessThan">
      <formula>0</formula>
    </cfRule>
  </conditionalFormatting>
  <hyperlinks>
    <hyperlink ref="F108" r:id="rId1" display="https://amrealty.appfolio.com/rental_applications/7287" xr:uid="{9DBE621A-B93F-49B3-BE23-6AF4E00EE264}"/>
  </hyperlinks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 Gonzalez</cp:lastModifiedBy>
  <dcterms:modified xsi:type="dcterms:W3CDTF">2025-01-23T23:33:28Z</dcterms:modified>
</cp:coreProperties>
</file>