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gonzalez/LTP Commercial Dropbox/Nicolas Gonzalez/LTP Public/Listings/MV2 Mooresville Portfolio - NDG/Mill One/2025 Financials/"/>
    </mc:Choice>
  </mc:AlternateContent>
  <xr:revisionPtr revIDLastSave="0" documentId="13_ncr:1_{6ADD7493-02C0-2241-BDCE-F7ADF86FC8F6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69" i="1"/>
  <c r="O50" i="1"/>
  <c r="O70" i="1" s="1"/>
  <c r="O44" i="1"/>
  <c r="O40" i="1"/>
  <c r="O74" i="1" l="1"/>
  <c r="O75" i="1" s="1"/>
  <c r="O77" i="1" s="1"/>
</calcChain>
</file>

<file path=xl/sharedStrings.xml><?xml version="1.0" encoding="utf-8"?>
<sst xmlns="http://schemas.openxmlformats.org/spreadsheetml/2006/main" count="93" uniqueCount="93">
  <si>
    <t>Income Statement - 12 Month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</si>
  <si>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01/09/2025 04:21 PM</t>
    </r>
  </si>
  <si>
    <t>Account Name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</si>
  <si>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</si>
  <si>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</si>
  <si>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</si>
  <si>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</si>
  <si>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</si>
  <si>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</si>
  <si>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</si>
  <si>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</si>
  <si>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</si>
  <si>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</si>
  <si>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</si>
  <si>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Operating Income &amp; Expense</t>
  </si>
  <si>
    <t xml:space="preserve">    Income</t>
  </si>
  <si>
    <t xml:space="preserve">        Rent Income</t>
  </si>
  <si>
    <t xml:space="preserve">        Month to Month Fee</t>
  </si>
  <si>
    <t xml:space="preserve">        Concessions</t>
  </si>
  <si>
    <t xml:space="preserve">        Technology Fee</t>
  </si>
  <si>
    <t xml:space="preserve">        Pet Fee-Non Refundable</t>
  </si>
  <si>
    <t xml:space="preserve">        Application Fee Income</t>
  </si>
  <si>
    <t xml:space="preserve">        Amenity Fee</t>
  </si>
  <si>
    <t xml:space="preserve">        CAM fee</t>
  </si>
  <si>
    <t xml:space="preserve">        Real Estate Taxes</t>
  </si>
  <si>
    <t xml:space="preserve">        Laundry Income</t>
  </si>
  <si>
    <t xml:space="preserve">        Valet Trash Income</t>
  </si>
  <si>
    <t xml:space="preserve">        Parking Fee Income</t>
  </si>
  <si>
    <t xml:space="preserve">        Move Out Charges</t>
  </si>
  <si>
    <t xml:space="preserve">        Late Fee </t>
  </si>
  <si>
    <t xml:space="preserve">        Buyout Fee</t>
  </si>
  <si>
    <t xml:space="preserve">        Renewal Fee</t>
  </si>
  <si>
    <t xml:space="preserve">        Water </t>
  </si>
  <si>
    <t xml:space="preserve">        NSF Fee</t>
  </si>
  <si>
    <t xml:space="preserve">        Balance Write Off</t>
  </si>
  <si>
    <t xml:space="preserve">        Pest Control Fee</t>
  </si>
  <si>
    <t xml:space="preserve">        Trash Income</t>
  </si>
  <si>
    <t xml:space="preserve">        Monthly Pet Rent</t>
  </si>
  <si>
    <t xml:space="preserve">        Other Income</t>
  </si>
  <si>
    <t xml:space="preserve">        Tax Arrears</t>
  </si>
  <si>
    <t xml:space="preserve">    Total Operating Income</t>
  </si>
  <si>
    <t xml:space="preserve">    Expense</t>
  </si>
  <si>
    <t xml:space="preserve">        Settlement Fee</t>
  </si>
  <si>
    <t xml:space="preserve">        Keys</t>
  </si>
  <si>
    <t xml:space="preserve">        Carpet Cleaning</t>
  </si>
  <si>
    <t xml:space="preserve">        Painting</t>
  </si>
  <si>
    <t xml:space="preserve">        HVAC (Heat, Ventilation, Air)</t>
  </si>
  <si>
    <t xml:space="preserve">        Landscaping</t>
  </si>
  <si>
    <t xml:space="preserve">        Janitorial Expense</t>
  </si>
  <si>
    <t xml:space="preserve">        Management Fee</t>
  </si>
  <si>
    <t xml:space="preserve">        Commissions</t>
  </si>
  <si>
    <t xml:space="preserve">        Insurance - Property</t>
  </si>
  <si>
    <t xml:space="preserve">        UTILITIES</t>
  </si>
  <si>
    <t xml:space="preserve">            Electricity</t>
  </si>
  <si>
    <t xml:space="preserve">            Gas</t>
  </si>
  <si>
    <t xml:space="preserve">            Water</t>
  </si>
  <si>
    <t xml:space="preserve">            Garbage and Recycling</t>
  </si>
  <si>
    <t xml:space="preserve">        Total UTILITIES</t>
  </si>
  <si>
    <t xml:space="preserve">        Certified Mailing</t>
  </si>
  <si>
    <t xml:space="preserve">        Pest Control</t>
  </si>
  <si>
    <t xml:space="preserve">        Appliance Repairs</t>
  </si>
  <si>
    <t xml:space="preserve">        Light Fixtures</t>
  </si>
  <si>
    <t xml:space="preserve">        Security</t>
  </si>
  <si>
    <t xml:space="preserve">        Valet Trash Expense</t>
  </si>
  <si>
    <t xml:space="preserve">        Repairs and Maintenance</t>
  </si>
  <si>
    <t xml:space="preserve">        Manager Payroll</t>
  </si>
  <si>
    <t xml:space="preserve">        Advertising &amp; Promotion</t>
  </si>
  <si>
    <t xml:space="preserve">        Bank Fees</t>
  </si>
  <si>
    <t xml:space="preserve">        Office Miscellaneous Expenses</t>
  </si>
  <si>
    <t xml:space="preserve">        Property Supplies</t>
  </si>
  <si>
    <t xml:space="preserve">        Personal Property</t>
  </si>
  <si>
    <t xml:space="preserve">        Legal Expenses</t>
  </si>
  <si>
    <t xml:space="preserve">        Other Professional Fees</t>
  </si>
  <si>
    <t xml:space="preserve">        Other Miscellaneous Expense</t>
  </si>
  <si>
    <t xml:space="preserve">        Maintenance Supplies</t>
  </si>
  <si>
    <t xml:space="preserve">        Community Events </t>
  </si>
  <si>
    <t xml:space="preserve">    Total Operating Expense</t>
  </si>
  <si>
    <t xml:space="preserve">    NOI - Net Operating Income</t>
  </si>
  <si>
    <t>Jan 2025 RR</t>
  </si>
  <si>
    <t>Comments</t>
  </si>
  <si>
    <t>Jan 2025 (Partial)</t>
  </si>
  <si>
    <t>30,105 Annual Premium</t>
  </si>
  <si>
    <t>Property Taxes</t>
  </si>
  <si>
    <t>295,713/yr</t>
  </si>
  <si>
    <t>Annualized</t>
  </si>
  <si>
    <t>Includes MV2 Suite and 19th Tee</t>
  </si>
  <si>
    <t>Price @ 5.1% Cap</t>
  </si>
  <si>
    <t>Total (5.5 mos)</t>
  </si>
  <si>
    <t xml:space="preserve">2025 Forecast </t>
  </si>
  <si>
    <t>Net Operating Income Annual</t>
  </si>
  <si>
    <t>Net Operating Income T1 Trending</t>
  </si>
  <si>
    <t>Valuation 5.1% Cap Rate</t>
  </si>
  <si>
    <t xml:space="preserve">        Misc Tenant Utility 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</si>
</sst>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&quot;$&quot;#,##0.00"/>
  </numFmts>
  <fonts count="12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sz val="12"/>
      <color rgb="FF303030"/>
      <name val="Arial"/>
      <family val="2"/>
    </font>
    <font>
      <b/>
      <sz val="12"/>
      <color rgb="FF30303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4" fillId="0" borderId="0" xfId="0" applyFont="1"/>
    <xf numFmtId="164" fontId="5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64" fontId="9" fillId="0" borderId="2" xfId="0" applyNumberFormat="1" applyFont="1" applyBorder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4" fontId="10" fillId="0" borderId="0" xfId="0" applyNumberFormat="1" applyFont="1"/>
    <xf numFmtId="40" fontId="9" fillId="0" borderId="2" xfId="0" applyNumberFormat="1" applyFont="1" applyBorder="1"/>
    <xf numFmtId="164" fontId="0" fillId="0" borderId="0" xfId="0" applyNumberFormat="1"/>
    <xf numFmtId="164" fontId="8" fillId="0" borderId="3" xfId="0" applyNumberFormat="1" applyFont="1" applyBorder="1"/>
    <xf numFmtId="0" fontId="0" fillId="0" borderId="3" xfId="0" applyBorder="1"/>
    <xf numFmtId="164" fontId="8" fillId="0" borderId="4" xfId="0" applyNumberFormat="1" applyFont="1" applyBorder="1"/>
    <xf numFmtId="165" fontId="0" fillId="0" borderId="4" xfId="0" applyNumberFormat="1" applyBorder="1"/>
    <xf numFmtId="164" fontId="8" fillId="5" borderId="0" xfId="0" applyNumberFormat="1" applyFont="1" applyFill="1"/>
    <xf numFmtId="164" fontId="10" fillId="0" borderId="0" xfId="0" applyNumberFormat="1" applyFont="1"/>
    <xf numFmtId="164" fontId="8" fillId="6" borderId="0" xfId="0" applyNumberFormat="1" applyFont="1" applyFill="1"/>
    <xf numFmtId="164" fontId="8" fillId="7" borderId="0" xfId="0" applyNumberFormat="1" applyFont="1" applyFill="1"/>
    <xf numFmtId="164" fontId="8" fillId="8" borderId="0" xfId="0" applyNumberFormat="1" applyFont="1" applyFill="1"/>
    <xf numFmtId="0" fontId="2" fillId="3" borderId="0" xfId="0" applyFont="1" applyFill="1"/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showWhiteSpace="0" topLeftCell="A9" zoomScale="140" zoomScaleNormal="140" workbookViewId="0">
      <selection activeCell="A30" sqref="A30"/>
    </sheetView>
  </sheetViews>
  <sheetFormatPr baseColWidth="10" defaultColWidth="8.83203125" defaultRowHeight="14" x14ac:dyDescent="0.15"/>
  <cols>
    <col min="1" max="1" width="26.6640625" bestFit="1" customWidth="1"/>
    <col min="2" max="7" width="21.5" hidden="1" customWidth="1"/>
    <col min="8" max="10" width="21.6640625" hidden="1" customWidth="1"/>
    <col min="11" max="13" width="21.6640625" bestFit="1" customWidth="1"/>
    <col min="14" max="14" width="23.33203125" hidden="1" customWidth="1"/>
    <col min="15" max="15" width="20.5" bestFit="1" customWidth="1"/>
    <col min="16" max="16" width="31.83203125" bestFit="1" customWidth="1"/>
    <col min="17" max="17" width="9.1640625" bestFit="1" customWidth="1"/>
  </cols>
  <sheetData>
    <row r="1" spans="1:16" ht="23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6" x14ac:dyDescent="0.1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6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6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6" ht="17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80</v>
      </c>
      <c r="N5" s="1" t="s">
        <v>87</v>
      </c>
      <c r="O5" s="1" t="s">
        <v>88</v>
      </c>
      <c r="P5" s="1" t="s">
        <v>79</v>
      </c>
    </row>
    <row r="6" spans="1:16" ht="16" x14ac:dyDescent="0.2">
      <c r="A6" s="2" t="s">
        <v>14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6" ht="16" x14ac:dyDescent="0.2">
      <c r="A7" s="2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6" ht="16" x14ac:dyDescent="0.2">
      <c r="A8" s="4" t="s">
        <v>16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176669.97</v>
      </c>
      <c r="I8" s="5">
        <v>177049.96</v>
      </c>
      <c r="J8" s="5">
        <v>189602.97</v>
      </c>
      <c r="K8" s="5">
        <v>187577.87</v>
      </c>
      <c r="L8" s="5">
        <v>191002.1</v>
      </c>
      <c r="M8" s="5">
        <v>191854.2</v>
      </c>
      <c r="N8" s="5">
        <v>1113757.07</v>
      </c>
      <c r="O8" s="5">
        <v>208315</v>
      </c>
      <c r="P8" s="9" t="s">
        <v>85</v>
      </c>
    </row>
    <row r="9" spans="1:16" ht="16" x14ac:dyDescent="0.2">
      <c r="A9" s="4" t="s">
        <v>17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4.84</v>
      </c>
      <c r="I9" s="5">
        <v>0</v>
      </c>
      <c r="J9" s="5">
        <v>0</v>
      </c>
      <c r="K9" s="5">
        <v>0</v>
      </c>
      <c r="L9" s="5">
        <v>0</v>
      </c>
      <c r="M9" s="5">
        <v>200</v>
      </c>
      <c r="N9" s="5">
        <v>204.84</v>
      </c>
      <c r="O9" s="5">
        <v>0</v>
      </c>
      <c r="P9" s="9"/>
    </row>
    <row r="10" spans="1:16" ht="16" x14ac:dyDescent="0.2">
      <c r="A10" s="4" t="s">
        <v>18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-52.37</v>
      </c>
      <c r="H10" s="5">
        <v>-3369</v>
      </c>
      <c r="I10" s="5">
        <v>-2369</v>
      </c>
      <c r="J10" s="5">
        <v>-3238.78</v>
      </c>
      <c r="K10" s="5">
        <v>-2602.92</v>
      </c>
      <c r="L10" s="5">
        <v>-2471.9699999999998</v>
      </c>
      <c r="M10" s="5">
        <v>-2489</v>
      </c>
      <c r="N10" s="5">
        <v>-16593.04</v>
      </c>
      <c r="O10" s="5">
        <v>-2500</v>
      </c>
      <c r="P10" s="9"/>
    </row>
    <row r="11" spans="1:16" ht="16" x14ac:dyDescent="0.2">
      <c r="A11" s="4" t="s">
        <v>19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112.42</v>
      </c>
      <c r="I11" s="5">
        <v>225.01</v>
      </c>
      <c r="J11" s="5">
        <v>348.33</v>
      </c>
      <c r="K11" s="5">
        <v>452.99</v>
      </c>
      <c r="L11" s="5">
        <v>498.96</v>
      </c>
      <c r="M11" s="5">
        <v>624.76</v>
      </c>
      <c r="N11" s="5">
        <v>2262.4699999999998</v>
      </c>
      <c r="O11" s="5">
        <v>635</v>
      </c>
      <c r="P11" s="9"/>
    </row>
    <row r="12" spans="1:16" ht="16" x14ac:dyDescent="0.2">
      <c r="A12" s="4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350</v>
      </c>
      <c r="I12" s="5">
        <v>0</v>
      </c>
      <c r="J12" s="5">
        <v>1050</v>
      </c>
      <c r="K12" s="5">
        <v>700</v>
      </c>
      <c r="L12" s="5">
        <v>350</v>
      </c>
      <c r="M12" s="5">
        <v>350</v>
      </c>
      <c r="N12" s="5">
        <v>2800</v>
      </c>
      <c r="O12" s="5">
        <v>300</v>
      </c>
      <c r="P12" s="9"/>
    </row>
    <row r="13" spans="1:16" ht="16" x14ac:dyDescent="0.2">
      <c r="A13" s="4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980</v>
      </c>
      <c r="I13" s="5">
        <v>630</v>
      </c>
      <c r="J13" s="5">
        <v>560</v>
      </c>
      <c r="K13" s="5">
        <v>280</v>
      </c>
      <c r="L13" s="5">
        <v>630</v>
      </c>
      <c r="M13" s="5">
        <v>70</v>
      </c>
      <c r="N13" s="5">
        <v>3150</v>
      </c>
      <c r="O13" s="5">
        <v>250</v>
      </c>
      <c r="P13" s="9"/>
    </row>
    <row r="14" spans="1:16" ht="16" x14ac:dyDescent="0.2">
      <c r="A14" s="4" t="s">
        <v>22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1333.87</v>
      </c>
      <c r="I14" s="5">
        <v>1461.33</v>
      </c>
      <c r="J14" s="5">
        <v>1558.39</v>
      </c>
      <c r="K14" s="5">
        <v>1610.67</v>
      </c>
      <c r="L14" s="5">
        <v>1608.07</v>
      </c>
      <c r="M14" s="5">
        <v>1660.33</v>
      </c>
      <c r="N14" s="5">
        <v>9232.66</v>
      </c>
      <c r="O14" s="5">
        <v>1630</v>
      </c>
      <c r="P14" s="9"/>
    </row>
    <row r="15" spans="1:16" ht="16" x14ac:dyDescent="0.2">
      <c r="A15" s="4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6445</v>
      </c>
      <c r="I15" s="5">
        <v>6882.5</v>
      </c>
      <c r="J15" s="5">
        <v>6649.5</v>
      </c>
      <c r="K15" s="5">
        <v>6649.5</v>
      </c>
      <c r="L15" s="5">
        <v>6649.5</v>
      </c>
      <c r="M15" s="5">
        <v>6649.5</v>
      </c>
      <c r="N15" s="5">
        <v>39925.5</v>
      </c>
      <c r="O15" s="5">
        <v>6649.5</v>
      </c>
      <c r="P15" s="9"/>
    </row>
    <row r="16" spans="1:16" ht="16" x14ac:dyDescent="0.2">
      <c r="A16" s="4" t="s">
        <v>24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2182.98</v>
      </c>
      <c r="I16" s="5">
        <v>4980.22</v>
      </c>
      <c r="J16" s="5">
        <v>4811.62</v>
      </c>
      <c r="K16" s="5">
        <v>4811.62</v>
      </c>
      <c r="L16" s="5">
        <v>4811.62</v>
      </c>
      <c r="M16" s="5">
        <v>5267.08</v>
      </c>
      <c r="N16" s="5">
        <v>26865.14</v>
      </c>
      <c r="O16" s="5">
        <v>5267.08</v>
      </c>
      <c r="P16" s="9"/>
    </row>
    <row r="17" spans="1:16" ht="16" x14ac:dyDescent="0.2">
      <c r="A17" s="4" t="s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1644.75</v>
      </c>
      <c r="K17" s="5">
        <v>0</v>
      </c>
      <c r="L17" s="5">
        <v>3043.09</v>
      </c>
      <c r="M17" s="5">
        <v>0</v>
      </c>
      <c r="N17" s="5">
        <v>4687.84</v>
      </c>
      <c r="O17" s="5"/>
      <c r="P17" s="9"/>
    </row>
    <row r="18" spans="1:16" ht="16" x14ac:dyDescent="0.2">
      <c r="A18" s="4" t="s">
        <v>26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1674.84</v>
      </c>
      <c r="I18" s="5">
        <v>1809.17</v>
      </c>
      <c r="J18" s="5">
        <v>1896.61</v>
      </c>
      <c r="K18" s="5">
        <v>1945.83</v>
      </c>
      <c r="L18" s="5">
        <v>1918.4</v>
      </c>
      <c r="M18" s="5">
        <v>2007.9</v>
      </c>
      <c r="N18" s="5">
        <v>11252.75</v>
      </c>
      <c r="O18" s="5">
        <v>2020</v>
      </c>
      <c r="P18" s="9"/>
    </row>
    <row r="19" spans="1:16" ht="16" x14ac:dyDescent="0.2">
      <c r="A19" s="4" t="s">
        <v>27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2593.54</v>
      </c>
      <c r="I19" s="5">
        <v>2765</v>
      </c>
      <c r="J19" s="5">
        <v>3108.87</v>
      </c>
      <c r="K19" s="5">
        <v>3232.5</v>
      </c>
      <c r="L19" s="5">
        <v>3036.29</v>
      </c>
      <c r="M19" s="5">
        <v>3245.97</v>
      </c>
      <c r="N19" s="5">
        <v>17982.169999999998</v>
      </c>
      <c r="O19" s="5">
        <v>2950</v>
      </c>
      <c r="P19" s="9"/>
    </row>
    <row r="20" spans="1:16" ht="16" x14ac:dyDescent="0.2">
      <c r="A20" s="4" t="s">
        <v>28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125</v>
      </c>
      <c r="I20" s="5">
        <v>125</v>
      </c>
      <c r="J20" s="5">
        <v>200</v>
      </c>
      <c r="K20" s="5">
        <v>95</v>
      </c>
      <c r="L20" s="5">
        <v>475</v>
      </c>
      <c r="M20" s="5">
        <v>0</v>
      </c>
      <c r="N20" s="5">
        <v>1020</v>
      </c>
      <c r="O20" s="5">
        <v>125</v>
      </c>
      <c r="P20" s="9"/>
    </row>
    <row r="21" spans="1:16" ht="16" x14ac:dyDescent="0.2">
      <c r="A21" s="4" t="s">
        <v>29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968.79</v>
      </c>
      <c r="I21" s="5">
        <v>835.95</v>
      </c>
      <c r="J21" s="5">
        <v>897.78</v>
      </c>
      <c r="K21" s="5">
        <v>1402.28</v>
      </c>
      <c r="L21" s="5">
        <v>1184.69</v>
      </c>
      <c r="M21" s="5">
        <v>1496.26</v>
      </c>
      <c r="N21" s="5">
        <v>6785.75</v>
      </c>
      <c r="O21" s="8">
        <v>900</v>
      </c>
      <c r="P21" s="9"/>
    </row>
    <row r="22" spans="1:16" ht="16" x14ac:dyDescent="0.2">
      <c r="A22" s="4" t="s">
        <v>30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1350</v>
      </c>
      <c r="K22" s="5">
        <v>0</v>
      </c>
      <c r="L22" s="5">
        <v>0</v>
      </c>
      <c r="M22" s="5">
        <v>0</v>
      </c>
      <c r="N22" s="5">
        <v>1350</v>
      </c>
      <c r="O22" s="5">
        <v>0</v>
      </c>
      <c r="P22" s="9"/>
    </row>
    <row r="23" spans="1:16" ht="16" x14ac:dyDescent="0.2">
      <c r="A23" s="4" t="s">
        <v>31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-17.5</v>
      </c>
      <c r="H23" s="5">
        <v>87.5</v>
      </c>
      <c r="I23" s="5">
        <v>52.5</v>
      </c>
      <c r="J23" s="5">
        <v>52.5</v>
      </c>
      <c r="K23" s="5">
        <v>122.5</v>
      </c>
      <c r="L23" s="5">
        <v>-17.5</v>
      </c>
      <c r="M23" s="5">
        <v>0</v>
      </c>
      <c r="N23" s="5">
        <v>280</v>
      </c>
      <c r="O23" s="5">
        <v>50</v>
      </c>
      <c r="P23" s="9"/>
    </row>
    <row r="24" spans="1:16" ht="16" x14ac:dyDescent="0.2">
      <c r="A24" s="4" t="s">
        <v>32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1860.13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1860.13</v>
      </c>
      <c r="O24" s="5">
        <v>0</v>
      </c>
      <c r="P24" s="9"/>
    </row>
    <row r="25" spans="1:16" ht="16" x14ac:dyDescent="0.2">
      <c r="A25" s="4" t="s">
        <v>33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25</v>
      </c>
      <c r="N25" s="5">
        <v>25</v>
      </c>
      <c r="O25" s="5">
        <v>0</v>
      </c>
      <c r="P25" s="9"/>
    </row>
    <row r="26" spans="1:16" ht="16" x14ac:dyDescent="0.2">
      <c r="A26" s="4" t="s">
        <v>34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-2930.55</v>
      </c>
      <c r="J26" s="5">
        <v>-3035.08</v>
      </c>
      <c r="K26" s="5">
        <v>-2897.84</v>
      </c>
      <c r="L26" s="5">
        <v>-2939.92</v>
      </c>
      <c r="M26" s="5">
        <v>0</v>
      </c>
      <c r="N26" s="5">
        <v>-11803.39</v>
      </c>
      <c r="O26" s="5">
        <v>0</v>
      </c>
      <c r="P26" s="9"/>
    </row>
    <row r="27" spans="1:16" ht="16" x14ac:dyDescent="0.2">
      <c r="A27" s="4" t="s">
        <v>35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370.14</v>
      </c>
      <c r="I27" s="5">
        <v>461.8</v>
      </c>
      <c r="J27" s="5">
        <v>554.25</v>
      </c>
      <c r="K27" s="5">
        <v>621.13</v>
      </c>
      <c r="L27" s="5">
        <v>649.87</v>
      </c>
      <c r="M27" s="5">
        <v>696.52</v>
      </c>
      <c r="N27" s="5">
        <v>3353.71</v>
      </c>
      <c r="O27" s="5">
        <v>560</v>
      </c>
      <c r="P27" s="9"/>
    </row>
    <row r="28" spans="1:16" ht="16" x14ac:dyDescent="0.2">
      <c r="A28" s="4" t="s">
        <v>36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364.84</v>
      </c>
      <c r="I28" s="5">
        <v>332.66</v>
      </c>
      <c r="J28" s="5">
        <v>285.33</v>
      </c>
      <c r="K28" s="5">
        <v>246.01</v>
      </c>
      <c r="L28" s="5">
        <v>212.9</v>
      </c>
      <c r="M28" s="5">
        <v>203.87</v>
      </c>
      <c r="N28" s="5">
        <v>1645.61</v>
      </c>
      <c r="O28" s="5">
        <v>380</v>
      </c>
      <c r="P28" s="9"/>
    </row>
    <row r="29" spans="1:16" ht="16" x14ac:dyDescent="0.2">
      <c r="A29" s="4" t="s">
        <v>37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520.16</v>
      </c>
      <c r="I29" s="5">
        <v>486.67</v>
      </c>
      <c r="J29" s="5">
        <v>575</v>
      </c>
      <c r="K29" s="5">
        <v>613.33000000000004</v>
      </c>
      <c r="L29" s="5">
        <v>619.36</v>
      </c>
      <c r="M29" s="5">
        <v>629.03</v>
      </c>
      <c r="N29" s="5">
        <v>3443.55</v>
      </c>
      <c r="O29" s="5">
        <v>575</v>
      </c>
      <c r="P29" s="9"/>
    </row>
    <row r="30" spans="1:16" ht="16" x14ac:dyDescent="0.2">
      <c r="A30" s="4" t="s">
        <v>92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10.94</v>
      </c>
      <c r="H30" s="5">
        <v>26.27</v>
      </c>
      <c r="I30" s="5">
        <v>428.35</v>
      </c>
      <c r="J30" s="5">
        <v>473.36</v>
      </c>
      <c r="K30" s="5">
        <v>423.64</v>
      </c>
      <c r="L30" s="5">
        <v>520.96</v>
      </c>
      <c r="M30" s="5">
        <v>1.56</v>
      </c>
      <c r="N30" s="5">
        <v>1885.08</v>
      </c>
      <c r="O30" s="5">
        <v>150</v>
      </c>
      <c r="P30" s="9"/>
    </row>
    <row r="31" spans="1:16" ht="16" x14ac:dyDescent="0.2">
      <c r="A31" s="4" t="s">
        <v>38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6288.96</v>
      </c>
      <c r="J31" s="5">
        <v>2319.46</v>
      </c>
      <c r="K31" s="5">
        <v>2820.26</v>
      </c>
      <c r="L31" s="5">
        <v>141.19</v>
      </c>
      <c r="M31" s="5">
        <v>600</v>
      </c>
      <c r="N31" s="5">
        <v>12169.87</v>
      </c>
      <c r="O31" s="8">
        <v>1000</v>
      </c>
      <c r="P31" s="9"/>
    </row>
    <row r="32" spans="1:16" ht="16" x14ac:dyDescent="0.2">
      <c r="A32" s="4" t="s">
        <v>39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7756.71</v>
      </c>
      <c r="I32" s="5">
        <v>1163.9100000000001</v>
      </c>
      <c r="J32" s="5">
        <v>1163.9100000000001</v>
      </c>
      <c r="K32" s="5">
        <v>1378.01</v>
      </c>
      <c r="L32" s="5">
        <v>1378.01</v>
      </c>
      <c r="M32" s="5">
        <v>1378.01</v>
      </c>
      <c r="N32" s="5">
        <v>14218.56</v>
      </c>
      <c r="O32" s="5">
        <v>0</v>
      </c>
      <c r="P32" s="9"/>
    </row>
    <row r="33" spans="1:16" ht="16" x14ac:dyDescent="0.2">
      <c r="A33" s="6" t="s">
        <v>40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-58.93</v>
      </c>
      <c r="H33" s="7">
        <v>201058</v>
      </c>
      <c r="I33" s="7">
        <v>200679.44</v>
      </c>
      <c r="J33" s="7">
        <v>212828.77</v>
      </c>
      <c r="K33" s="7">
        <v>209482.38</v>
      </c>
      <c r="L33" s="7">
        <v>213300.62</v>
      </c>
      <c r="M33" s="7">
        <v>214470.99</v>
      </c>
      <c r="N33" s="7">
        <v>1251761.27</v>
      </c>
      <c r="O33" s="7">
        <f>SUM(O8:O32)</f>
        <v>229256.58</v>
      </c>
      <c r="P33" s="10" t="s">
        <v>78</v>
      </c>
    </row>
    <row r="34" spans="1:16" ht="16" x14ac:dyDescent="0.2">
      <c r="A34" s="6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</row>
    <row r="35" spans="1:16" ht="16" x14ac:dyDescent="0.2">
      <c r="A35" s="4" t="s">
        <v>42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-1742.42</v>
      </c>
      <c r="K35" s="5">
        <v>-4562.42</v>
      </c>
      <c r="L35" s="5">
        <v>-4562.42</v>
      </c>
      <c r="M35" s="5">
        <v>0</v>
      </c>
      <c r="N35" s="5">
        <v>-10867.26</v>
      </c>
      <c r="O35" s="5">
        <v>0</v>
      </c>
      <c r="P35" s="9"/>
    </row>
    <row r="36" spans="1:16" ht="16" x14ac:dyDescent="0.2">
      <c r="A36" s="4" t="s">
        <v>43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454.98</v>
      </c>
      <c r="I36" s="5">
        <v>0</v>
      </c>
      <c r="J36" s="5">
        <v>380.48</v>
      </c>
      <c r="K36" s="5">
        <v>0</v>
      </c>
      <c r="L36" s="5">
        <v>0</v>
      </c>
      <c r="M36" s="5">
        <v>0</v>
      </c>
      <c r="N36" s="5">
        <v>835.46</v>
      </c>
      <c r="O36" s="5">
        <v>0</v>
      </c>
      <c r="P36" s="9"/>
    </row>
    <row r="37" spans="1:16" ht="16" x14ac:dyDescent="0.2">
      <c r="A37" s="4" t="s">
        <v>44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600</v>
      </c>
      <c r="L37" s="5">
        <v>0</v>
      </c>
      <c r="M37" s="5">
        <v>0</v>
      </c>
      <c r="N37" s="5">
        <v>600</v>
      </c>
      <c r="O37" s="5">
        <v>0</v>
      </c>
      <c r="P37" s="9"/>
    </row>
    <row r="38" spans="1:16" ht="16" x14ac:dyDescent="0.2">
      <c r="A38" s="4" t="s">
        <v>45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10660.38</v>
      </c>
      <c r="I38" s="5">
        <v>4250</v>
      </c>
      <c r="J38" s="5">
        <v>2850</v>
      </c>
      <c r="K38" s="5">
        <v>2900</v>
      </c>
      <c r="L38" s="5">
        <v>2325</v>
      </c>
      <c r="M38" s="5">
        <v>650</v>
      </c>
      <c r="N38" s="5">
        <v>23635.38</v>
      </c>
      <c r="O38" s="20">
        <v>2900</v>
      </c>
      <c r="P38" s="9"/>
    </row>
    <row r="39" spans="1:16" ht="16" x14ac:dyDescent="0.2">
      <c r="A39" s="4" t="s">
        <v>46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147.32</v>
      </c>
      <c r="I39" s="5">
        <v>297.42</v>
      </c>
      <c r="J39" s="5">
        <v>1163.05</v>
      </c>
      <c r="K39" s="5">
        <v>0</v>
      </c>
      <c r="L39" s="5">
        <v>0</v>
      </c>
      <c r="M39" s="5">
        <v>0</v>
      </c>
      <c r="N39" s="5">
        <v>1607.79</v>
      </c>
      <c r="O39" s="18">
        <v>250</v>
      </c>
      <c r="P39" s="9"/>
    </row>
    <row r="40" spans="1:16" ht="16" x14ac:dyDescent="0.2">
      <c r="A40" s="4" t="s">
        <v>47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405</v>
      </c>
      <c r="I40" s="5">
        <v>730</v>
      </c>
      <c r="J40" s="5">
        <v>405</v>
      </c>
      <c r="K40" s="5">
        <v>405</v>
      </c>
      <c r="L40" s="5">
        <v>405</v>
      </c>
      <c r="M40" s="5">
        <v>0</v>
      </c>
      <c r="N40" s="5">
        <v>2350</v>
      </c>
      <c r="O40" s="21">
        <f>N40/6</f>
        <v>391.66666666666669</v>
      </c>
      <c r="P40" s="9"/>
    </row>
    <row r="41" spans="1:16" ht="16" x14ac:dyDescent="0.2">
      <c r="A41" s="4" t="s">
        <v>48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3590</v>
      </c>
      <c r="I41" s="5">
        <v>4135</v>
      </c>
      <c r="J41" s="5">
        <v>5515</v>
      </c>
      <c r="K41" s="5">
        <v>2340</v>
      </c>
      <c r="L41" s="5">
        <v>320</v>
      </c>
      <c r="M41" s="5">
        <v>300</v>
      </c>
      <c r="N41" s="5">
        <v>16200</v>
      </c>
      <c r="O41" s="21">
        <v>2700</v>
      </c>
      <c r="P41" s="9"/>
    </row>
    <row r="42" spans="1:16" ht="16" x14ac:dyDescent="0.2">
      <c r="A42" s="4" t="s">
        <v>49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5130.83</v>
      </c>
      <c r="I42" s="5">
        <v>4866.12</v>
      </c>
      <c r="J42" s="5">
        <v>5546.03</v>
      </c>
      <c r="K42" s="5">
        <v>5164.6000000000004</v>
      </c>
      <c r="L42" s="5">
        <v>5624.87</v>
      </c>
      <c r="M42" s="5">
        <v>4872.59</v>
      </c>
      <c r="N42" s="5">
        <v>31205.040000000001</v>
      </c>
      <c r="O42" s="22">
        <v>5500</v>
      </c>
      <c r="P42" s="9"/>
    </row>
    <row r="43" spans="1:16" ht="16" x14ac:dyDescent="0.2">
      <c r="A43" s="4" t="s">
        <v>50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1600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1600</v>
      </c>
      <c r="O43" s="5">
        <v>0</v>
      </c>
      <c r="P43" s="9"/>
    </row>
    <row r="44" spans="1:16" ht="16" x14ac:dyDescent="0.2">
      <c r="A44" s="4" t="s">
        <v>51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8584.77</v>
      </c>
      <c r="M44" s="5">
        <v>3081.47</v>
      </c>
      <c r="N44" s="5">
        <v>11666.24</v>
      </c>
      <c r="O44" s="5">
        <f>30105/12</f>
        <v>2508.75</v>
      </c>
      <c r="P44" s="9" t="s">
        <v>81</v>
      </c>
    </row>
    <row r="45" spans="1:16" ht="16" x14ac:dyDescent="0.2">
      <c r="A45" s="6" t="s">
        <v>52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ht="16" x14ac:dyDescent="0.2">
      <c r="A46" s="4" t="s">
        <v>53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1909.85</v>
      </c>
      <c r="I46" s="5">
        <v>2211.31</v>
      </c>
      <c r="J46" s="5">
        <v>2071.71</v>
      </c>
      <c r="K46" s="5">
        <v>1795.31</v>
      </c>
      <c r="L46" s="5">
        <v>2066.9499999999998</v>
      </c>
      <c r="M46" s="5">
        <v>207.98</v>
      </c>
      <c r="N46" s="5">
        <v>10263.11</v>
      </c>
      <c r="O46" s="5">
        <v>2100</v>
      </c>
      <c r="P46" s="9"/>
    </row>
    <row r="47" spans="1:16" ht="16" x14ac:dyDescent="0.2">
      <c r="A47" s="4" t="s">
        <v>54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250.38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250.38</v>
      </c>
      <c r="O47" s="5">
        <v>0</v>
      </c>
      <c r="P47" s="9"/>
    </row>
    <row r="48" spans="1:16" ht="16" x14ac:dyDescent="0.2">
      <c r="A48" s="4" t="s">
        <v>55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3334.41</v>
      </c>
      <c r="I48" s="5">
        <v>4158.3100000000004</v>
      </c>
      <c r="J48" s="5">
        <v>3687.51</v>
      </c>
      <c r="K48" s="5">
        <v>3746.36</v>
      </c>
      <c r="L48" s="5">
        <v>4723.2700000000004</v>
      </c>
      <c r="M48" s="5">
        <v>3687.51</v>
      </c>
      <c r="N48" s="5">
        <v>23337.37</v>
      </c>
      <c r="O48" s="5">
        <v>3800</v>
      </c>
      <c r="P48" s="9"/>
    </row>
    <row r="49" spans="1:16" ht="16" x14ac:dyDescent="0.2">
      <c r="A49" s="4" t="s">
        <v>56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679.19</v>
      </c>
      <c r="H49" s="5">
        <v>3172.51</v>
      </c>
      <c r="I49" s="5">
        <v>0</v>
      </c>
      <c r="J49" s="5">
        <v>5388.35</v>
      </c>
      <c r="K49" s="5">
        <v>2691.67</v>
      </c>
      <c r="L49" s="5">
        <v>3145.53</v>
      </c>
      <c r="M49" s="5">
        <v>0</v>
      </c>
      <c r="N49" s="5">
        <v>15077.25</v>
      </c>
      <c r="O49" s="5">
        <v>2600</v>
      </c>
      <c r="P49" s="9"/>
    </row>
    <row r="50" spans="1:16" ht="16" x14ac:dyDescent="0.2">
      <c r="A50" s="6" t="s">
        <v>57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679.19</v>
      </c>
      <c r="H50" s="7">
        <v>8667.15</v>
      </c>
      <c r="I50" s="7">
        <v>6369.62</v>
      </c>
      <c r="J50" s="7">
        <v>11147.57</v>
      </c>
      <c r="K50" s="7">
        <v>8233.34</v>
      </c>
      <c r="L50" s="7">
        <v>9935.75</v>
      </c>
      <c r="M50" s="7">
        <v>3895.49</v>
      </c>
      <c r="N50" s="7">
        <v>48928.11</v>
      </c>
      <c r="O50" s="7">
        <f>SUM(O46:O49)</f>
        <v>8500</v>
      </c>
      <c r="P50" s="9"/>
    </row>
    <row r="51" spans="1:16" ht="16" x14ac:dyDescent="0.2">
      <c r="A51" s="4" t="s">
        <v>58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9.6999999999999993</v>
      </c>
      <c r="J51" s="5">
        <v>0</v>
      </c>
      <c r="K51" s="5">
        <v>0</v>
      </c>
      <c r="L51" s="5">
        <v>0</v>
      </c>
      <c r="M51" s="5">
        <v>0</v>
      </c>
      <c r="N51" s="5">
        <v>9.6999999999999993</v>
      </c>
      <c r="O51" s="22">
        <v>10</v>
      </c>
      <c r="P51" s="9"/>
    </row>
    <row r="52" spans="1:16" ht="16" x14ac:dyDescent="0.2">
      <c r="A52" s="4" t="s">
        <v>59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225</v>
      </c>
      <c r="I52" s="5">
        <v>326</v>
      </c>
      <c r="J52" s="5">
        <v>538.66999999999996</v>
      </c>
      <c r="K52" s="5">
        <v>437.67</v>
      </c>
      <c r="L52" s="5">
        <v>1044.67</v>
      </c>
      <c r="M52" s="5">
        <v>437.67</v>
      </c>
      <c r="N52" s="5">
        <v>3009.68</v>
      </c>
      <c r="O52" s="21">
        <v>500</v>
      </c>
      <c r="P52" s="9"/>
    </row>
    <row r="53" spans="1:16" ht="16" x14ac:dyDescent="0.2">
      <c r="A53" s="4" t="s">
        <v>60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96.53</v>
      </c>
      <c r="N53" s="5">
        <v>96.53</v>
      </c>
      <c r="O53" s="18">
        <v>250</v>
      </c>
      <c r="P53" s="9"/>
    </row>
    <row r="54" spans="1:16" ht="16" x14ac:dyDescent="0.2">
      <c r="A54" s="4" t="s">
        <v>61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-29.87</v>
      </c>
      <c r="M54" s="5">
        <v>0</v>
      </c>
      <c r="N54" s="5">
        <v>-29.87</v>
      </c>
      <c r="O54" s="5">
        <v>0</v>
      </c>
      <c r="P54" s="9"/>
    </row>
    <row r="55" spans="1:16" ht="16" x14ac:dyDescent="0.2">
      <c r="A55" s="4" t="s">
        <v>62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1218.03</v>
      </c>
      <c r="I55" s="5">
        <v>940.47</v>
      </c>
      <c r="J55" s="5">
        <v>0</v>
      </c>
      <c r="K55" s="5">
        <v>1384.33</v>
      </c>
      <c r="L55" s="5">
        <v>306.38</v>
      </c>
      <c r="M55" s="5">
        <v>0</v>
      </c>
      <c r="N55" s="5">
        <v>3849.21</v>
      </c>
      <c r="O55" s="5">
        <v>0</v>
      </c>
      <c r="P55" s="9"/>
    </row>
    <row r="56" spans="1:16" ht="16" x14ac:dyDescent="0.2">
      <c r="A56" s="4" t="s">
        <v>63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1096.2</v>
      </c>
      <c r="J56" s="5">
        <v>4384.8</v>
      </c>
      <c r="K56" s="5">
        <v>1096.2</v>
      </c>
      <c r="L56" s="5">
        <v>1096.2</v>
      </c>
      <c r="M56" s="5">
        <v>1128.5999999999999</v>
      </c>
      <c r="N56" s="5">
        <v>8802</v>
      </c>
      <c r="O56" s="21">
        <v>1100</v>
      </c>
      <c r="P56" s="9"/>
    </row>
    <row r="57" spans="1:16" ht="16" x14ac:dyDescent="0.2">
      <c r="A57" s="4" t="s">
        <v>64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17.04</v>
      </c>
      <c r="H57" s="5">
        <v>1810.52</v>
      </c>
      <c r="I57" s="5">
        <v>1091.94</v>
      </c>
      <c r="J57" s="5">
        <v>1152.8699999999999</v>
      </c>
      <c r="K57" s="5">
        <v>1591.94</v>
      </c>
      <c r="L57" s="5">
        <v>1805.72</v>
      </c>
      <c r="M57" s="5">
        <v>0</v>
      </c>
      <c r="N57" s="5">
        <v>7470.03</v>
      </c>
      <c r="O57" s="18">
        <v>2000</v>
      </c>
      <c r="P57" s="9"/>
    </row>
    <row r="58" spans="1:16" ht="16" x14ac:dyDescent="0.2">
      <c r="A58" s="4" t="s">
        <v>65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9419</v>
      </c>
      <c r="I58" s="5">
        <v>9419</v>
      </c>
      <c r="J58" s="5">
        <v>9419</v>
      </c>
      <c r="K58" s="5">
        <v>9419</v>
      </c>
      <c r="L58" s="5">
        <v>9419</v>
      </c>
      <c r="M58" s="5">
        <v>9419</v>
      </c>
      <c r="N58" s="5">
        <v>56514</v>
      </c>
      <c r="O58" s="5">
        <v>9419</v>
      </c>
      <c r="P58" s="9"/>
    </row>
    <row r="59" spans="1:16" ht="16" x14ac:dyDescent="0.2">
      <c r="A59" s="4" t="s">
        <v>66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2018.16</v>
      </c>
      <c r="I59" s="5">
        <v>1909</v>
      </c>
      <c r="J59" s="5">
        <v>2118</v>
      </c>
      <c r="K59" s="5">
        <v>3659</v>
      </c>
      <c r="L59" s="5">
        <v>3659</v>
      </c>
      <c r="M59" s="5">
        <v>1959</v>
      </c>
      <c r="N59" s="5">
        <v>15322.16</v>
      </c>
      <c r="O59" s="5">
        <v>2250</v>
      </c>
      <c r="P59" s="9"/>
    </row>
    <row r="60" spans="1:16" ht="16" x14ac:dyDescent="0.2">
      <c r="A60" s="4" t="s">
        <v>67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98.04</v>
      </c>
      <c r="I60" s="5">
        <v>120.46</v>
      </c>
      <c r="J60" s="5">
        <v>132.72</v>
      </c>
      <c r="K60" s="5">
        <v>193.46</v>
      </c>
      <c r="L60" s="5">
        <v>130.72</v>
      </c>
      <c r="M60" s="5">
        <v>0</v>
      </c>
      <c r="N60" s="5">
        <v>675.4</v>
      </c>
      <c r="O60" s="22">
        <v>100</v>
      </c>
      <c r="P60" s="9"/>
    </row>
    <row r="61" spans="1:16" ht="16" x14ac:dyDescent="0.2">
      <c r="A61" s="4" t="s">
        <v>68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39.44</v>
      </c>
      <c r="J61" s="5">
        <v>0</v>
      </c>
      <c r="K61" s="5">
        <v>0</v>
      </c>
      <c r="L61" s="5">
        <v>0</v>
      </c>
      <c r="M61" s="5">
        <v>0</v>
      </c>
      <c r="N61" s="5">
        <v>39.44</v>
      </c>
      <c r="O61" s="5">
        <v>0</v>
      </c>
      <c r="P61" s="9"/>
    </row>
    <row r="62" spans="1:16" ht="16" x14ac:dyDescent="0.2">
      <c r="A62" s="4" t="s">
        <v>69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91.13</v>
      </c>
      <c r="J62" s="5">
        <v>1301.43</v>
      </c>
      <c r="K62" s="5">
        <v>581.45000000000005</v>
      </c>
      <c r="L62" s="5">
        <v>267.39999999999998</v>
      </c>
      <c r="M62" s="5">
        <v>263.83999999999997</v>
      </c>
      <c r="N62" s="5">
        <v>2505.25</v>
      </c>
      <c r="O62" s="22">
        <v>250</v>
      </c>
      <c r="P62" s="9"/>
    </row>
    <row r="63" spans="1:16" ht="16" x14ac:dyDescent="0.2">
      <c r="A63" s="4" t="s">
        <v>70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627.49</v>
      </c>
      <c r="K63" s="5">
        <v>0</v>
      </c>
      <c r="L63" s="5">
        <v>0</v>
      </c>
      <c r="M63" s="5">
        <v>0</v>
      </c>
      <c r="N63" s="5">
        <v>627.49</v>
      </c>
      <c r="O63" s="22">
        <v>100</v>
      </c>
      <c r="P63" s="9"/>
    </row>
    <row r="64" spans="1:16" ht="16" x14ac:dyDescent="0.2">
      <c r="A64" s="4" t="s">
        <v>71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845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845</v>
      </c>
      <c r="O64" s="22">
        <v>100</v>
      </c>
      <c r="P64" s="9"/>
    </row>
    <row r="65" spans="1:17" ht="16" x14ac:dyDescent="0.2">
      <c r="A65" s="4" t="s">
        <v>72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500</v>
      </c>
      <c r="K65" s="5">
        <v>0</v>
      </c>
      <c r="L65" s="5">
        <v>0</v>
      </c>
      <c r="M65" s="5">
        <v>0</v>
      </c>
      <c r="N65" s="5">
        <v>500</v>
      </c>
      <c r="O65" s="22">
        <v>100</v>
      </c>
      <c r="P65" s="9"/>
    </row>
    <row r="66" spans="1:17" ht="16" x14ac:dyDescent="0.2">
      <c r="A66" s="4" t="s">
        <v>73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462.47</v>
      </c>
      <c r="J66" s="5">
        <v>-107.49</v>
      </c>
      <c r="K66" s="5">
        <v>0</v>
      </c>
      <c r="L66" s="5">
        <v>0</v>
      </c>
      <c r="M66" s="5">
        <v>3358.13</v>
      </c>
      <c r="N66" s="5">
        <v>3713.11</v>
      </c>
      <c r="O66" s="22">
        <v>250</v>
      </c>
      <c r="P66" s="9"/>
    </row>
    <row r="67" spans="1:17" ht="16" x14ac:dyDescent="0.2">
      <c r="A67" s="4" t="s">
        <v>74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1206.01</v>
      </c>
      <c r="I67" s="5">
        <v>1111.27</v>
      </c>
      <c r="J67" s="5">
        <v>50.64</v>
      </c>
      <c r="K67" s="5">
        <v>0</v>
      </c>
      <c r="L67" s="5">
        <v>0</v>
      </c>
      <c r="M67" s="5">
        <v>0</v>
      </c>
      <c r="N67" s="5">
        <v>2367.92</v>
      </c>
      <c r="O67" s="18">
        <v>200</v>
      </c>
      <c r="P67" s="19"/>
    </row>
    <row r="68" spans="1:17" ht="16" x14ac:dyDescent="0.2">
      <c r="A68" s="4" t="s">
        <v>75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80.86</v>
      </c>
      <c r="K68" s="5">
        <v>0</v>
      </c>
      <c r="L68" s="5">
        <v>0</v>
      </c>
      <c r="M68" s="5">
        <v>0</v>
      </c>
      <c r="N68" s="5">
        <v>80.86</v>
      </c>
      <c r="O68" s="5">
        <v>0</v>
      </c>
      <c r="P68" s="9"/>
    </row>
    <row r="69" spans="1:17" ht="16" x14ac:dyDescent="0.2">
      <c r="A69" s="4" t="s">
        <v>82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1">
        <f>295713/12</f>
        <v>24642.75</v>
      </c>
      <c r="P69" s="9" t="s">
        <v>83</v>
      </c>
    </row>
    <row r="70" spans="1:17" ht="16" x14ac:dyDescent="0.2">
      <c r="A70" s="6" t="s">
        <v>76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696.23</v>
      </c>
      <c r="H70" s="7">
        <v>47495.42</v>
      </c>
      <c r="I70" s="7">
        <v>37265.24</v>
      </c>
      <c r="J70" s="7">
        <v>45463.7</v>
      </c>
      <c r="K70" s="7">
        <v>33443.57</v>
      </c>
      <c r="L70" s="7">
        <v>40332.19</v>
      </c>
      <c r="M70" s="7">
        <v>29824.62</v>
      </c>
      <c r="N70" s="7">
        <v>234520.97</v>
      </c>
      <c r="O70" s="12">
        <f>SUM(O51:O69)+O50+SUM(O35:O44)</f>
        <v>64022.166666666664</v>
      </c>
      <c r="P70" s="9"/>
    </row>
    <row r="71" spans="1:17" ht="16" x14ac:dyDescent="0.2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9"/>
    </row>
    <row r="72" spans="1:17" ht="16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7" ht="16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9"/>
      <c r="Q73" s="13"/>
    </row>
    <row r="74" spans="1:17" ht="17" thickBot="1" x14ac:dyDescent="0.25">
      <c r="A74" s="6" t="s">
        <v>77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-755.16</v>
      </c>
      <c r="H74" s="8">
        <v>153562.57999999999</v>
      </c>
      <c r="I74" s="8">
        <v>163414.20000000001</v>
      </c>
      <c r="J74" s="8">
        <v>167365.07</v>
      </c>
      <c r="K74" s="8">
        <v>176038.81</v>
      </c>
      <c r="L74" s="8">
        <v>172968.43</v>
      </c>
      <c r="M74" s="8">
        <v>184646.37</v>
      </c>
      <c r="N74" s="8">
        <v>1017240.3</v>
      </c>
      <c r="O74" s="8">
        <f>O33-O70</f>
        <v>165234.41333333333</v>
      </c>
      <c r="P74" s="9" t="s">
        <v>90</v>
      </c>
      <c r="Q74" s="13"/>
    </row>
    <row r="75" spans="1:17" ht="17" thickBot="1" x14ac:dyDescent="0.2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14" t="s">
        <v>84</v>
      </c>
      <c r="O75" s="16">
        <f>O74*12</f>
        <v>1982812.96</v>
      </c>
      <c r="P75" s="9" t="s">
        <v>89</v>
      </c>
    </row>
    <row r="76" spans="1:17" ht="17" thickBot="1" x14ac:dyDescent="0.25">
      <c r="A76" s="9"/>
    </row>
    <row r="77" spans="1:17" ht="17" thickBot="1" x14ac:dyDescent="0.25">
      <c r="A77" s="9"/>
      <c r="N77" s="15" t="s">
        <v>86</v>
      </c>
      <c r="O77" s="17">
        <f>O75/0.051</f>
        <v>38878685.490196079</v>
      </c>
      <c r="P77" t="s">
        <v>91</v>
      </c>
    </row>
    <row r="78" spans="1:17" ht="16" x14ac:dyDescent="0.2">
      <c r="A78" s="9"/>
    </row>
    <row r="79" spans="1:17" ht="16" x14ac:dyDescent="0.2">
      <c r="A79" s="9"/>
    </row>
    <row r="80" spans="1:17" ht="16" x14ac:dyDescent="0.2">
      <c r="A80" s="9"/>
    </row>
    <row r="81" spans="1:1" ht="16" x14ac:dyDescent="0.2">
      <c r="A81" s="9"/>
    </row>
    <row r="82" spans="1:1" ht="16" x14ac:dyDescent="0.2">
      <c r="A82" s="9"/>
    </row>
    <row r="83" spans="1:1" ht="16" x14ac:dyDescent="0.2">
      <c r="A83" s="9"/>
    </row>
    <row r="84" spans="1:1" ht="16" x14ac:dyDescent="0.2">
      <c r="A84" s="9"/>
    </row>
    <row r="85" spans="1:1" ht="16" x14ac:dyDescent="0.2">
      <c r="A85" s="9"/>
    </row>
    <row r="86" spans="1:1" ht="16" x14ac:dyDescent="0.2">
      <c r="A86" s="9"/>
    </row>
    <row r="87" spans="1:1" ht="16" x14ac:dyDescent="0.2">
      <c r="A87" s="9"/>
    </row>
    <row r="88" spans="1:1" ht="16" x14ac:dyDescent="0.2">
      <c r="A88" s="9"/>
    </row>
    <row r="89" spans="1:1" ht="16" x14ac:dyDescent="0.2">
      <c r="A89" s="9"/>
    </row>
  </sheetData>
  <mergeCells count="4">
    <mergeCell ref="A1:N1"/>
    <mergeCell ref="A2:N2"/>
    <mergeCell ref="A3:N3"/>
    <mergeCell ref="A4:N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Nick Gonzalez</cp:lastModifiedBy>
  <cp:revision>0</cp:revision>
  <dcterms:created xsi:type="dcterms:W3CDTF">2025-01-09T21:21:03Z</dcterms:created>
  <dcterms:modified xsi:type="dcterms:W3CDTF">2025-02-04T01:19:04Z</dcterms:modified>
</cp:coreProperties>
</file>